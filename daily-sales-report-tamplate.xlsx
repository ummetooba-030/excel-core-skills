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EZO 03332568818\Downloads\EXCEL PROJECTS\"/>
    </mc:Choice>
  </mc:AlternateContent>
  <xr:revisionPtr revIDLastSave="0" documentId="13_ncr:1_{83D3CC8D-8323-4E4F-AF2C-82140CBE419A}" xr6:coauthVersionLast="47" xr6:coauthVersionMax="47" xr10:uidLastSave="{00000000-0000-0000-0000-000000000000}"/>
  <bookViews>
    <workbookView xWindow="-120" yWindow="-120" windowWidth="20730" windowHeight="11160" xr2:uid="{4129A2ED-CBA3-4E52-817A-2C14B5770399}"/>
  </bookViews>
  <sheets>
    <sheet name="Sales report" sheetId="1" r:id="rId1"/>
    <sheet name="product informati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1" l="1"/>
  <c r="J6" i="1"/>
  <c r="J7" i="1"/>
  <c r="J8" i="1"/>
  <c r="J9" i="1"/>
  <c r="J10" i="1"/>
  <c r="J11" i="1"/>
  <c r="J12" i="1"/>
  <c r="J13" i="1"/>
  <c r="J14" i="1"/>
  <c r="J5" i="1"/>
  <c r="I6" i="1"/>
  <c r="I7" i="1"/>
  <c r="I8" i="1"/>
  <c r="I9" i="1"/>
  <c r="I10" i="1"/>
  <c r="I11" i="1"/>
  <c r="I12" i="1"/>
  <c r="I13" i="1"/>
  <c r="I14" i="1"/>
  <c r="I5" i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5" i="1"/>
  <c r="H5" i="1" s="1"/>
  <c r="E6" i="1"/>
  <c r="E7" i="1"/>
  <c r="E8" i="1"/>
  <c r="E9" i="1"/>
  <c r="E10" i="1"/>
  <c r="E11" i="1"/>
  <c r="E12" i="1"/>
  <c r="E13" i="1"/>
  <c r="E14" i="1"/>
  <c r="E5" i="1"/>
</calcChain>
</file>

<file path=xl/sharedStrings.xml><?xml version="1.0" encoding="utf-8"?>
<sst xmlns="http://schemas.openxmlformats.org/spreadsheetml/2006/main" count="64" uniqueCount="54">
  <si>
    <t>Date</t>
  </si>
  <si>
    <t>Invoice No.</t>
  </si>
  <si>
    <t>Customer Name</t>
  </si>
  <si>
    <t>Product Code</t>
  </si>
  <si>
    <t>Price</t>
  </si>
  <si>
    <t>Total Sales</t>
  </si>
  <si>
    <t>Net Amount</t>
  </si>
  <si>
    <t>SALES REPORT OF JULY 2026</t>
  </si>
  <si>
    <t>IN1001</t>
  </si>
  <si>
    <t>IN1002</t>
  </si>
  <si>
    <t>IN1003</t>
  </si>
  <si>
    <t>IN1004</t>
  </si>
  <si>
    <t>IN1005</t>
  </si>
  <si>
    <t>IN1006</t>
  </si>
  <si>
    <t>IN1007</t>
  </si>
  <si>
    <t>IN1008</t>
  </si>
  <si>
    <t>IN1009</t>
  </si>
  <si>
    <t>IN1010</t>
  </si>
  <si>
    <t>Abdullah Malik</t>
  </si>
  <si>
    <t>Balaj Sheikh</t>
  </si>
  <si>
    <t>Bilal Ahmed</t>
  </si>
  <si>
    <t>Faiza Hameed</t>
  </si>
  <si>
    <t>Laiba Mansoor</t>
  </si>
  <si>
    <t>Muhammad Ali</t>
  </si>
  <si>
    <t>Sharjeel Ali</t>
  </si>
  <si>
    <t>Samreen Farhat</t>
  </si>
  <si>
    <t>Usman Khan</t>
  </si>
  <si>
    <t>Umer Mehmood</t>
  </si>
  <si>
    <t>Product code</t>
  </si>
  <si>
    <t xml:space="preserve">Product </t>
  </si>
  <si>
    <t>Keyboard Dell</t>
  </si>
  <si>
    <t>Mouse Dell</t>
  </si>
  <si>
    <t>Dell Monitor 18 inch</t>
  </si>
  <si>
    <t>Hp Mouse</t>
  </si>
  <si>
    <t>Headset</t>
  </si>
  <si>
    <t>Hp Processor</t>
  </si>
  <si>
    <t xml:space="preserve">Dell Laptop </t>
  </si>
  <si>
    <t>Speaker</t>
  </si>
  <si>
    <t>Keyboard Hp</t>
  </si>
  <si>
    <t>Hp Charger spare</t>
  </si>
  <si>
    <t>ESI1001</t>
  </si>
  <si>
    <t>ESI1002</t>
  </si>
  <si>
    <t>ESI1003</t>
  </si>
  <si>
    <t>ESI1004</t>
  </si>
  <si>
    <t>ESI1005</t>
  </si>
  <si>
    <t>ESI1006</t>
  </si>
  <si>
    <t>ESI1007</t>
  </si>
  <si>
    <t>ESI1008</t>
  </si>
  <si>
    <t>ESI1009</t>
  </si>
  <si>
    <t>ESI1010</t>
  </si>
  <si>
    <t>Product</t>
  </si>
  <si>
    <t>Unit Sold</t>
  </si>
  <si>
    <t>GST 18%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</si>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</sst>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&quot;Pcs&quot;"/>
    <numFmt numFmtId="165" formatCode="&quot;$&quot;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5" fontId="0" fillId="0" borderId="1" xfId="0" applyNumberFormat="1" applyBorder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3" borderId="0" xfId="0" applyFill="1"/>
    <xf numFmtId="44" fontId="0" fillId="3" borderId="0" xfId="1" applyFont="1" applyFill="1"/>
    <xf numFmtId="44" fontId="0" fillId="0" borderId="1" xfId="1" applyFont="1" applyBorder="1"/>
    <xf numFmtId="44" fontId="0" fillId="0" borderId="0" xfId="1" applyFont="1"/>
    <xf numFmtId="164" fontId="3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0" fillId="0" borderId="1" xfId="0" applyNumberFormat="1" applyBorder="1"/>
    <xf numFmtId="165" fontId="0" fillId="0" borderId="0" xfId="0" applyNumberFormat="1"/>
    <xf numFmtId="165" fontId="2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/>
    <xf numFmtId="0" fontId="5" fillId="5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25A9-5C6F-4E31-B8D5-78C5B6D85493}">
  <dimension ref="A1:J15"/>
  <sheetViews>
    <sheetView tabSelected="1" workbookViewId="0">
      <selection activeCell="C17" sqref="C17"/>
    </sheetView>
  </sheetViews>
  <sheetFormatPr defaultRowHeight="15" x14ac:dyDescent="0.25"/>
  <cols>
    <col min="1" max="1" width="8.85546875" bestFit="1" customWidth="1"/>
    <col min="2" max="2" width="12" bestFit="1" customWidth="1"/>
    <col min="3" max="3" width="16.7109375" bestFit="1" customWidth="1"/>
    <col min="4" max="4" width="14.42578125" bestFit="1" customWidth="1"/>
    <col min="5" max="5" width="19" bestFit="1" customWidth="1"/>
    <col min="6" max="6" width="10.140625" style="13" bestFit="1" customWidth="1"/>
    <col min="7" max="7" width="9.7109375" style="10" customWidth="1"/>
    <col min="8" max="8" width="11.42578125" style="13" bestFit="1" customWidth="1"/>
    <col min="9" max="9" width="11.42578125" style="13" customWidth="1"/>
    <col min="10" max="10" width="13.28515625" bestFit="1" customWidth="1"/>
  </cols>
  <sheetData>
    <row r="1" spans="1:10" x14ac:dyDescent="0.25">
      <c r="A1" s="16" t="s">
        <v>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50</v>
      </c>
      <c r="F4" s="11" t="s">
        <v>4</v>
      </c>
      <c r="G4" s="8" t="s">
        <v>51</v>
      </c>
      <c r="H4" s="11" t="s">
        <v>5</v>
      </c>
      <c r="I4" s="11" t="s">
        <v>52</v>
      </c>
      <c r="J4" s="3" t="s">
        <v>6</v>
      </c>
    </row>
    <row r="5" spans="1:10" x14ac:dyDescent="0.25">
      <c r="A5" s="1">
        <v>46204</v>
      </c>
      <c r="B5" s="2" t="s">
        <v>8</v>
      </c>
      <c r="C5" s="2" t="s">
        <v>18</v>
      </c>
      <c r="D5" s="2" t="s">
        <v>40</v>
      </c>
      <c r="E5" s="2" t="str">
        <f>IFERROR(VLOOKUP(D5,'product information'!$A$4:$C$13,2,),"")</f>
        <v>Keyboard Dell</v>
      </c>
      <c r="F5" s="12">
        <f>IFERROR(VLOOKUP(D5,'product information'!$A$4:$C$13,3,),"")</f>
        <v>450</v>
      </c>
      <c r="G5" s="9">
        <v>2</v>
      </c>
      <c r="H5" s="12">
        <f>IFERROR(F5*G5,"")</f>
        <v>900</v>
      </c>
      <c r="I5" s="12">
        <f>IFERROR(H5*18%,"")</f>
        <v>162</v>
      </c>
      <c r="J5" s="12">
        <f>IFERROR(H5+I5,"")</f>
        <v>1062</v>
      </c>
    </row>
    <row r="6" spans="1:10" x14ac:dyDescent="0.25">
      <c r="A6" s="1">
        <v>46205</v>
      </c>
      <c r="B6" s="2" t="s">
        <v>9</v>
      </c>
      <c r="C6" s="2" t="s">
        <v>19</v>
      </c>
      <c r="D6" s="2" t="s">
        <v>44</v>
      </c>
      <c r="E6" s="2" t="str">
        <f>IFERROR(VLOOKUP(D6,'product information'!$A$4:$C$13,2,),"")</f>
        <v>Hp Mouse</v>
      </c>
      <c r="F6" s="12">
        <f>IFERROR(VLOOKUP(D6,'product information'!$A$4:$C$13,3,),"")</f>
        <v>200</v>
      </c>
      <c r="G6" s="9">
        <v>12</v>
      </c>
      <c r="H6" s="12">
        <f t="shared" ref="H6:H14" si="0">IFERROR(F6*G6,"")</f>
        <v>2400</v>
      </c>
      <c r="I6" s="12">
        <f t="shared" ref="I6:I14" si="1">IFERROR(H6*18%,"")</f>
        <v>432</v>
      </c>
      <c r="J6" s="12">
        <f t="shared" ref="J6:J14" si="2">IFERROR(H6+I6,"")</f>
        <v>2832</v>
      </c>
    </row>
    <row r="7" spans="1:10" x14ac:dyDescent="0.25">
      <c r="A7" s="1">
        <v>46206</v>
      </c>
      <c r="B7" s="2" t="s">
        <v>10</v>
      </c>
      <c r="C7" s="2" t="s">
        <v>20</v>
      </c>
      <c r="D7" s="2" t="s">
        <v>45</v>
      </c>
      <c r="E7" s="2" t="str">
        <f>IFERROR(VLOOKUP(D7,'product information'!$A$4:$C$13,2,),"")</f>
        <v>Headset</v>
      </c>
      <c r="F7" s="12">
        <f>IFERROR(VLOOKUP(D7,'product information'!$A$4:$C$13,3,),"")</f>
        <v>400</v>
      </c>
      <c r="G7" s="9">
        <v>30</v>
      </c>
      <c r="H7" s="12">
        <f t="shared" si="0"/>
        <v>12000</v>
      </c>
      <c r="I7" s="12">
        <f t="shared" si="1"/>
        <v>2160</v>
      </c>
      <c r="J7" s="12">
        <f t="shared" si="2"/>
        <v>14160</v>
      </c>
    </row>
    <row r="8" spans="1:10" x14ac:dyDescent="0.25">
      <c r="A8" s="1">
        <v>46207</v>
      </c>
      <c r="B8" s="2" t="s">
        <v>11</v>
      </c>
      <c r="C8" s="2" t="s">
        <v>21</v>
      </c>
      <c r="D8" s="2" t="s">
        <v>47</v>
      </c>
      <c r="E8" s="2" t="str">
        <f>IFERROR(VLOOKUP(D8,'product information'!$A$4:$C$13,2,),"")</f>
        <v xml:space="preserve">Dell Laptop </v>
      </c>
      <c r="F8" s="12">
        <f>IFERROR(VLOOKUP(D8,'product information'!$A$4:$C$13,3,),"")</f>
        <v>35000</v>
      </c>
      <c r="G8" s="9">
        <v>12</v>
      </c>
      <c r="H8" s="12">
        <f t="shared" si="0"/>
        <v>420000</v>
      </c>
      <c r="I8" s="12">
        <f t="shared" si="1"/>
        <v>75600</v>
      </c>
      <c r="J8" s="12">
        <f t="shared" si="2"/>
        <v>495600</v>
      </c>
    </row>
    <row r="9" spans="1:10" x14ac:dyDescent="0.25">
      <c r="A9" s="1">
        <v>46208</v>
      </c>
      <c r="B9" s="2" t="s">
        <v>12</v>
      </c>
      <c r="C9" s="2" t="s">
        <v>22</v>
      </c>
      <c r="D9" s="2" t="s">
        <v>46</v>
      </c>
      <c r="E9" s="2" t="str">
        <f>IFERROR(VLOOKUP(D9,'product information'!$A$4:$C$13,2,),"")</f>
        <v>Hp Processor</v>
      </c>
      <c r="F9" s="12">
        <f>IFERROR(VLOOKUP(D9,'product information'!$A$4:$C$13,3,),"")</f>
        <v>1000</v>
      </c>
      <c r="G9" s="9">
        <v>19</v>
      </c>
      <c r="H9" s="12">
        <f t="shared" si="0"/>
        <v>19000</v>
      </c>
      <c r="I9" s="12">
        <f t="shared" si="1"/>
        <v>3420</v>
      </c>
      <c r="J9" s="12">
        <f t="shared" si="2"/>
        <v>22420</v>
      </c>
    </row>
    <row r="10" spans="1:10" x14ac:dyDescent="0.25">
      <c r="A10" s="1">
        <v>46209</v>
      </c>
      <c r="B10" s="2" t="s">
        <v>13</v>
      </c>
      <c r="C10" s="2" t="s">
        <v>23</v>
      </c>
      <c r="D10" s="2" t="s">
        <v>49</v>
      </c>
      <c r="E10" s="2" t="str">
        <f>IFERROR(VLOOKUP(D10,'product information'!$A$4:$C$13,2,),"")</f>
        <v>Hp Charger spare</v>
      </c>
      <c r="F10" s="12">
        <f>IFERROR(VLOOKUP(D10,'product information'!$A$4:$C$13,3,),"")</f>
        <v>10000</v>
      </c>
      <c r="G10" s="9">
        <v>13</v>
      </c>
      <c r="H10" s="12">
        <f t="shared" si="0"/>
        <v>130000</v>
      </c>
      <c r="I10" s="12">
        <f t="shared" si="1"/>
        <v>23400</v>
      </c>
      <c r="J10" s="12">
        <f t="shared" si="2"/>
        <v>153400</v>
      </c>
    </row>
    <row r="11" spans="1:10" x14ac:dyDescent="0.25">
      <c r="A11" s="1">
        <v>46210</v>
      </c>
      <c r="B11" s="2" t="s">
        <v>14</v>
      </c>
      <c r="C11" s="2" t="s">
        <v>24</v>
      </c>
      <c r="D11" s="2" t="s">
        <v>43</v>
      </c>
      <c r="E11" s="2" t="str">
        <f>IFERROR(VLOOKUP(D11,'product information'!$A$4:$C$13,2,),"")</f>
        <v>Dell Monitor 18 inch</v>
      </c>
      <c r="F11" s="12">
        <f>IFERROR(VLOOKUP(D11,'product information'!$A$4:$C$13,3,),"")</f>
        <v>12000</v>
      </c>
      <c r="G11" s="9">
        <v>11</v>
      </c>
      <c r="H11" s="12">
        <f t="shared" si="0"/>
        <v>132000</v>
      </c>
      <c r="I11" s="12">
        <f t="shared" si="1"/>
        <v>23760</v>
      </c>
      <c r="J11" s="12">
        <f t="shared" si="2"/>
        <v>155760</v>
      </c>
    </row>
    <row r="12" spans="1:10" x14ac:dyDescent="0.25">
      <c r="A12" s="1">
        <v>46211</v>
      </c>
      <c r="B12" s="2" t="s">
        <v>15</v>
      </c>
      <c r="C12" s="2" t="s">
        <v>25</v>
      </c>
      <c r="D12" s="2" t="s">
        <v>41</v>
      </c>
      <c r="E12" s="2" t="str">
        <f>IFERROR(VLOOKUP(D12,'product information'!$A$4:$C$13,2,),"")</f>
        <v>Mouse Dell</v>
      </c>
      <c r="F12" s="12">
        <f>IFERROR(VLOOKUP(D12,'product information'!$A$4:$C$13,3,),"")</f>
        <v>200</v>
      </c>
      <c r="G12" s="9">
        <v>19</v>
      </c>
      <c r="H12" s="12">
        <f t="shared" si="0"/>
        <v>3800</v>
      </c>
      <c r="I12" s="12">
        <f t="shared" si="1"/>
        <v>684</v>
      </c>
      <c r="J12" s="12">
        <f t="shared" si="2"/>
        <v>4484</v>
      </c>
    </row>
    <row r="13" spans="1:10" x14ac:dyDescent="0.25">
      <c r="A13" s="1">
        <v>46212</v>
      </c>
      <c r="B13" s="2" t="s">
        <v>16</v>
      </c>
      <c r="C13" s="2" t="s">
        <v>26</v>
      </c>
      <c r="D13" s="2" t="s">
        <v>48</v>
      </c>
      <c r="E13" s="2" t="str">
        <f>IFERROR(VLOOKUP(D13,'product information'!$A$4:$C$13,2,),"")</f>
        <v>Speaker</v>
      </c>
      <c r="F13" s="12">
        <f>IFERROR(VLOOKUP(D13,'product information'!$A$4:$C$13,3,),"")</f>
        <v>1500</v>
      </c>
      <c r="G13" s="9">
        <v>8</v>
      </c>
      <c r="H13" s="12">
        <f t="shared" si="0"/>
        <v>12000</v>
      </c>
      <c r="I13" s="12">
        <f t="shared" si="1"/>
        <v>2160</v>
      </c>
      <c r="J13" s="12">
        <f t="shared" si="2"/>
        <v>14160</v>
      </c>
    </row>
    <row r="14" spans="1:10" x14ac:dyDescent="0.25">
      <c r="A14" s="1">
        <v>46213</v>
      </c>
      <c r="B14" s="2" t="s">
        <v>17</v>
      </c>
      <c r="C14" s="2" t="s">
        <v>27</v>
      </c>
      <c r="D14" s="2"/>
      <c r="E14" s="2" t="str">
        <f>IFERROR(VLOOKUP(D14,'product information'!$A$4:$C$13,2,),"")</f>
        <v/>
      </c>
      <c r="F14" s="12" t="str">
        <f>IFERROR(VLOOKUP(D14,'product information'!$A$4:$C$13,3,),"")</f>
        <v/>
      </c>
      <c r="G14" s="9"/>
      <c r="H14" s="12" t="str">
        <f t="shared" si="0"/>
        <v/>
      </c>
      <c r="I14" s="12" t="str">
        <f t="shared" si="1"/>
        <v/>
      </c>
      <c r="J14" s="12" t="str">
        <f t="shared" si="2"/>
        <v/>
      </c>
    </row>
    <row r="15" spans="1:10" x14ac:dyDescent="0.25">
      <c r="I15" s="14" t="s">
        <v>53</v>
      </c>
      <c r="J15" s="15">
        <f>SUM(J5:J14)</f>
        <v>863878</v>
      </c>
    </row>
  </sheetData>
  <mergeCells count="1">
    <mergeCell ref="A1:J3"/>
  </mergeCells>
  <phoneticPr fontId="4" type="noConversion"/>
  <conditionalFormatting sqref="J6">
    <cfRule type="cellIs" dxfId="0" priority="1" operator="greaterThan">
      <formula>2832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DCD7F6-8D9D-4594-9AFC-83ADC6671DE8}">
          <x14:formula1>
            <xm:f>'product information'!$A$4:$A$13</xm:f>
          </x14:formula1>
          <xm:sqref>D5:D14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D890-BC81-452C-BDC5-B3C457FF137B}">
  <dimension ref="A3:C13"/>
  <sheetViews>
    <sheetView workbookViewId="0">
      <selection activeCell="D16" sqref="D16"/>
    </sheetView>
  </sheetViews>
  <sheetFormatPr defaultRowHeight="15" x14ac:dyDescent="0.25"/>
  <cols>
    <col min="1" max="1" width="12.5703125" bestFit="1" customWidth="1"/>
    <col min="2" max="2" width="19" bestFit="1" customWidth="1"/>
    <col min="3" max="3" width="11.5703125" style="7" bestFit="1" customWidth="1"/>
  </cols>
  <sheetData>
    <row r="3" spans="1:3" x14ac:dyDescent="0.25">
      <c r="A3" s="4" t="s">
        <v>28</v>
      </c>
      <c r="B3" s="4" t="s">
        <v>29</v>
      </c>
      <c r="C3" s="5" t="s">
        <v>4</v>
      </c>
    </row>
    <row r="4" spans="1:3" x14ac:dyDescent="0.25">
      <c r="A4" s="2" t="s">
        <v>40</v>
      </c>
      <c r="B4" s="2" t="s">
        <v>30</v>
      </c>
      <c r="C4" s="6">
        <v>450</v>
      </c>
    </row>
    <row r="5" spans="1:3" x14ac:dyDescent="0.25">
      <c r="A5" s="2" t="s">
        <v>41</v>
      </c>
      <c r="B5" s="2" t="s">
        <v>31</v>
      </c>
      <c r="C5" s="6">
        <v>200</v>
      </c>
    </row>
    <row r="6" spans="1:3" x14ac:dyDescent="0.25">
      <c r="A6" s="2" t="s">
        <v>42</v>
      </c>
      <c r="B6" s="2" t="s">
        <v>38</v>
      </c>
      <c r="C6" s="6">
        <v>400</v>
      </c>
    </row>
    <row r="7" spans="1:3" x14ac:dyDescent="0.25">
      <c r="A7" s="2" t="s">
        <v>43</v>
      </c>
      <c r="B7" s="2" t="s">
        <v>32</v>
      </c>
      <c r="C7" s="6">
        <v>12000</v>
      </c>
    </row>
    <row r="8" spans="1:3" x14ac:dyDescent="0.25">
      <c r="A8" s="2" t="s">
        <v>44</v>
      </c>
      <c r="B8" s="2" t="s">
        <v>33</v>
      </c>
      <c r="C8" s="6">
        <v>200</v>
      </c>
    </row>
    <row r="9" spans="1:3" x14ac:dyDescent="0.25">
      <c r="A9" s="2" t="s">
        <v>45</v>
      </c>
      <c r="B9" s="2" t="s">
        <v>34</v>
      </c>
      <c r="C9" s="6">
        <v>400</v>
      </c>
    </row>
    <row r="10" spans="1:3" x14ac:dyDescent="0.25">
      <c r="A10" s="2" t="s">
        <v>46</v>
      </c>
      <c r="B10" s="2" t="s">
        <v>35</v>
      </c>
      <c r="C10" s="6">
        <v>1000</v>
      </c>
    </row>
    <row r="11" spans="1:3" x14ac:dyDescent="0.25">
      <c r="A11" s="2" t="s">
        <v>47</v>
      </c>
      <c r="B11" s="2" t="s">
        <v>36</v>
      </c>
      <c r="C11" s="6">
        <v>35000</v>
      </c>
    </row>
    <row r="12" spans="1:3" x14ac:dyDescent="0.25">
      <c r="A12" s="2" t="s">
        <v>48</v>
      </c>
      <c r="B12" s="2" t="s">
        <v>37</v>
      </c>
      <c r="C12" s="6">
        <v>1500</v>
      </c>
    </row>
    <row r="13" spans="1:3" x14ac:dyDescent="0.25">
      <c r="A13" s="2" t="s">
        <v>49</v>
      </c>
      <c r="B13" s="2" t="s">
        <v>39</v>
      </c>
      <c r="C13" s="6">
        <v>10000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product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UMM E TOOBA</dc:creator>
  <cp:lastModifiedBy>UMM E TOOBA</cp:lastModifiedBy>
  <dcterms:created xsi:type="dcterms:W3CDTF">2026-07-03T00:18:20Z</dcterms:created>
  <dcterms:modified xsi:type="dcterms:W3CDTF">2026-07-04T00:48:44Z</dcterms:modified>
</cp:coreProperties>
</file>