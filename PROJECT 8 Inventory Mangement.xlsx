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ECHNEZO 03332568818\Downloads\EXCEL PROJECTS\"/>
    </mc:Choice>
  </mc:AlternateContent>
  <xr:revisionPtr revIDLastSave="0" documentId="8_{9F91583D-90D9-4F53-8C82-B8A61CF87AA2}" xr6:coauthVersionLast="47" xr6:coauthVersionMax="47" xr10:uidLastSave="{00000000-0000-0000-0000-000000000000}"/>
  <bookViews>
    <workbookView xWindow="-120" yWindow="-120" windowWidth="20730" windowHeight="11160" activeTab="3" xr2:uid="{D7E49D15-9BDF-4586-A982-05B3629F24EC}"/>
  </bookViews>
  <sheets>
    <sheet name="Products" sheetId="1" r:id="rId1"/>
    <sheet name="Transactions" sheetId="2" r:id="rId2"/>
    <sheet name="Inventory" sheetId="4" r:id="rId3"/>
    <sheet name="PIVOT TABLE" sheetId="5" r:id="rId4"/>
  </sheets>
  <definedNames>
    <definedName name="ProductList">Products!$A:$A</definedName>
    <definedName name="Slicer_Product_Descrption">#N/A</definedName>
    <definedName name="Slicer_supplier">#N/A</definedName>
  </definedNames>
  <calcPr calcId="181029"/>
  <pivotCaches>
    <pivotCache cacheId="2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 i="4" l="1"/>
  <c r="G7" i="4"/>
  <c r="G8" i="4"/>
  <c r="I8" i="4" s="1"/>
  <c r="G9" i="4"/>
  <c r="H9" i="4" s="1"/>
  <c r="G10" i="4"/>
  <c r="G11" i="4"/>
  <c r="G12" i="4"/>
  <c r="I12" i="4" s="1"/>
  <c r="G13" i="4"/>
  <c r="H13" i="4" s="1"/>
  <c r="G14" i="4"/>
  <c r="G15" i="4"/>
  <c r="G16" i="4"/>
  <c r="I16" i="4" s="1"/>
  <c r="G17" i="4"/>
  <c r="H17" i="4" s="1"/>
  <c r="G18" i="4"/>
  <c r="G19" i="4"/>
  <c r="G20" i="4"/>
  <c r="I20" i="4" s="1"/>
  <c r="I7" i="4"/>
  <c r="H10" i="4"/>
  <c r="I11" i="4"/>
  <c r="H14" i="4"/>
  <c r="I15" i="4"/>
  <c r="H18" i="4"/>
  <c r="I19" i="4"/>
  <c r="H6" i="4"/>
  <c r="F7" i="4"/>
  <c r="F8" i="4"/>
  <c r="F9" i="4"/>
  <c r="F10" i="4"/>
  <c r="F11" i="4"/>
  <c r="F12" i="4"/>
  <c r="F13" i="4"/>
  <c r="F14" i="4"/>
  <c r="F15" i="4"/>
  <c r="F16" i="4"/>
  <c r="F17" i="4"/>
  <c r="F18" i="4"/>
  <c r="F19" i="4"/>
  <c r="F20" i="4"/>
  <c r="F6" i="4"/>
  <c r="E7" i="4"/>
  <c r="E8" i="4"/>
  <c r="E9" i="4"/>
  <c r="E10" i="4"/>
  <c r="E11" i="4"/>
  <c r="E12" i="4"/>
  <c r="E13" i="4"/>
  <c r="E14" i="4"/>
  <c r="E15" i="4"/>
  <c r="E16" i="4"/>
  <c r="E17" i="4"/>
  <c r="E18" i="4"/>
  <c r="E19" i="4"/>
  <c r="E20" i="4"/>
  <c r="E6" i="4"/>
  <c r="D7" i="4"/>
  <c r="D8" i="4"/>
  <c r="D9" i="4"/>
  <c r="D10" i="4"/>
  <c r="D11" i="4"/>
  <c r="D12" i="4"/>
  <c r="D13" i="4"/>
  <c r="D14" i="4"/>
  <c r="D15" i="4"/>
  <c r="D16" i="4"/>
  <c r="D17" i="4"/>
  <c r="D18" i="4"/>
  <c r="D19" i="4"/>
  <c r="D20" i="4"/>
  <c r="D6" i="4"/>
  <c r="C6" i="4"/>
  <c r="C7" i="4"/>
  <c r="C8" i="4"/>
  <c r="C9" i="4"/>
  <c r="C10" i="4"/>
  <c r="C11" i="4"/>
  <c r="C12" i="4"/>
  <c r="C13" i="4"/>
  <c r="C14" i="4"/>
  <c r="C15" i="4"/>
  <c r="C16" i="4"/>
  <c r="C17" i="4"/>
  <c r="C18" i="4"/>
  <c r="C19" i="4"/>
  <c r="C20" i="4"/>
  <c r="H15" i="4" l="1"/>
  <c r="H7" i="4"/>
  <c r="H20" i="4"/>
  <c r="H12" i="4"/>
  <c r="H19" i="4"/>
  <c r="H11" i="4"/>
  <c r="H16" i="4"/>
  <c r="H8" i="4"/>
  <c r="I18" i="4"/>
  <c r="I14" i="4"/>
  <c r="I10" i="4"/>
  <c r="I6" i="4"/>
  <c r="I17" i="4"/>
  <c r="I13" i="4"/>
  <c r="I9" i="4"/>
</calcChain>
</file>

<file path=xl/sharedStrings.xml><?xml version="1.0" encoding="utf-8"?>
<sst xmlns="http://schemas.openxmlformats.org/spreadsheetml/2006/main" count="217" uniqueCount="90">
  <si>
    <t>GrooveGrub Pvt Ltd.</t>
  </si>
  <si>
    <t>PRDOUCT I'D</t>
  </si>
  <si>
    <t>PRODUCT NAME</t>
  </si>
  <si>
    <t xml:space="preserve">CATEGORY </t>
  </si>
  <si>
    <t>COST/UNIT</t>
  </si>
  <si>
    <t>RECORDER LEVEL</t>
  </si>
  <si>
    <t>SUPPLIER</t>
  </si>
  <si>
    <t>PO1001</t>
  </si>
  <si>
    <t>PO1002</t>
  </si>
  <si>
    <t>PO1003</t>
  </si>
  <si>
    <t>PO1004</t>
  </si>
  <si>
    <t>PO1005</t>
  </si>
  <si>
    <t>PO1006</t>
  </si>
  <si>
    <t>PO1007</t>
  </si>
  <si>
    <t>PO1008</t>
  </si>
  <si>
    <t>PO1009</t>
  </si>
  <si>
    <t>PO1010</t>
  </si>
  <si>
    <t>PO1011</t>
  </si>
  <si>
    <t>PO1012</t>
  </si>
  <si>
    <t>PO1013</t>
  </si>
  <si>
    <t>PO1014</t>
  </si>
  <si>
    <t>PO1015</t>
  </si>
  <si>
    <t>Rainbow Socks</t>
  </si>
  <si>
    <t>Bubble Tea kit</t>
  </si>
  <si>
    <t>LED Fight Spinner</t>
  </si>
  <si>
    <t>Popcorn Pack</t>
  </si>
  <si>
    <t>Pocket Notebook</t>
  </si>
  <si>
    <t>Slime DIY Kit</t>
  </si>
  <si>
    <t>Resuable water Bottle</t>
  </si>
  <si>
    <t>Chocolate box</t>
  </si>
  <si>
    <t>Mini Desk Plant</t>
  </si>
  <si>
    <t>Glow-in-dark-Mug</t>
  </si>
  <si>
    <t>Scented Candel</t>
  </si>
  <si>
    <t>Travel Card Holder</t>
  </si>
  <si>
    <t>Cotton Tootte Bag</t>
  </si>
  <si>
    <t>Jelly bean Jar</t>
  </si>
  <si>
    <t>Magnetic Bookmark Set</t>
  </si>
  <si>
    <t>Apparel</t>
  </si>
  <si>
    <t>Food &amp; Drink</t>
  </si>
  <si>
    <t>Toys &amp; Gadget</t>
  </si>
  <si>
    <t>Statinory</t>
  </si>
  <si>
    <t>Lifestyle</t>
  </si>
  <si>
    <t>CozyWear.com</t>
  </si>
  <si>
    <t>Teastytreat Ltd</t>
  </si>
  <si>
    <t>Funzone Import</t>
  </si>
  <si>
    <t>Snak master</t>
  </si>
  <si>
    <t>Paperworm supplier</t>
  </si>
  <si>
    <t>Ecoliving Ltd</t>
  </si>
  <si>
    <t>Green thumbb Supplier</t>
  </si>
  <si>
    <t>Urban Style.com</t>
  </si>
  <si>
    <t>Sweet treat.com</t>
  </si>
  <si>
    <t>TransI'D</t>
  </si>
  <si>
    <t>DATE</t>
  </si>
  <si>
    <t>PRODUCT I'd</t>
  </si>
  <si>
    <t>Site</t>
  </si>
  <si>
    <t>TYPE</t>
  </si>
  <si>
    <t>QUANTITY</t>
  </si>
  <si>
    <t>SITE</t>
  </si>
  <si>
    <t>T001</t>
  </si>
  <si>
    <t>T002</t>
  </si>
  <si>
    <t>T003</t>
  </si>
  <si>
    <t>T004</t>
  </si>
  <si>
    <t>T005</t>
  </si>
  <si>
    <t>T006</t>
  </si>
  <si>
    <t>T007</t>
  </si>
  <si>
    <t>T008</t>
  </si>
  <si>
    <t>T009</t>
  </si>
  <si>
    <t>T010</t>
  </si>
  <si>
    <t>T011</t>
  </si>
  <si>
    <t>T012</t>
  </si>
  <si>
    <t>T013</t>
  </si>
  <si>
    <t>T014</t>
  </si>
  <si>
    <t>T015</t>
  </si>
  <si>
    <t>Store A</t>
  </si>
  <si>
    <t>Store B</t>
  </si>
  <si>
    <t>Store C</t>
  </si>
  <si>
    <t>Opening stock</t>
  </si>
  <si>
    <t>Product I'd</t>
  </si>
  <si>
    <t>Product Descrption</t>
  </si>
  <si>
    <t>supplier</t>
  </si>
  <si>
    <t>Cost/Unit</t>
  </si>
  <si>
    <t>Recorder Level</t>
  </si>
  <si>
    <t>Quantity On Hand</t>
  </si>
  <si>
    <t>Stock Value</t>
  </si>
  <si>
    <t>Recorder</t>
  </si>
  <si>
    <t>Oder Date</t>
  </si>
  <si>
    <t>Column Labels</t>
  </si>
  <si>
    <t>Grand Total</t>
  </si>
  <si>
    <t>Row Labels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</si>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</sst>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6" formatCode="[$-409]d\-mmm;@"/>
  </numFmts>
  <fonts count="5" x14ac:knownFonts="1">
    <font>
      <sz val="11"/>
      <color theme="1"/>
      <name val="Calibri"/>
      <family val="2"/>
      <scheme val="minor"/>
    </font>
    <font>
      <b/>
      <sz val="11"/>
      <color theme="0"/>
      <name val="Calibri"/>
      <family val="2"/>
      <scheme val="minor"/>
    </font>
    <font>
      <b/>
      <sz val="11"/>
      <color theme="1"/>
      <name val="Calibri"/>
      <family val="2"/>
      <scheme val="minor"/>
    </font>
    <font>
      <sz val="28"/>
      <color theme="0"/>
      <name val="Arial Black"/>
      <family val="2"/>
    </font>
    <font>
      <sz val="8"/>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4"/>
        <bgColor theme="4"/>
      </patternFill>
    </fill>
  </fills>
  <borders count="4">
    <border>
      <left/>
      <right/>
      <top/>
      <bottom/>
      <diagonal/>
    </border>
    <border>
      <left/>
      <right/>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s>
  <cellStyleXfs count="1">
    <xf numFmtId="0" fontId="0" fillId="0" borderId="0"/>
  </cellStyleXfs>
  <cellXfs count="23">
    <xf numFmtId="0" fontId="0" fillId="0" borderId="0" xfId="0"/>
    <xf numFmtId="0" fontId="0" fillId="0" borderId="0" xfId="0" applyAlignment="1">
      <alignment horizontal="center"/>
    </xf>
    <xf numFmtId="0" fontId="3" fillId="2" borderId="0" xfId="0" applyFont="1" applyFill="1" applyAlignment="1">
      <alignment horizontal="center"/>
    </xf>
    <xf numFmtId="0" fontId="2" fillId="0" borderId="0" xfId="0" applyFont="1" applyAlignment="1">
      <alignment horizontal="center"/>
    </xf>
    <xf numFmtId="2" fontId="2" fillId="0" borderId="0" xfId="0" applyNumberFormat="1" applyFont="1" applyAlignment="1">
      <alignment horizontal="center"/>
    </xf>
    <xf numFmtId="2" fontId="0" fillId="0" borderId="0" xfId="0" applyNumberFormat="1"/>
    <xf numFmtId="164" fontId="2" fillId="0" borderId="0" xfId="0" applyNumberFormat="1" applyFont="1" applyAlignment="1">
      <alignment horizontal="center"/>
    </xf>
    <xf numFmtId="164" fontId="0" fillId="0" borderId="0" xfId="0" applyNumberFormat="1"/>
    <xf numFmtId="1" fontId="2" fillId="0" borderId="0" xfId="0" applyNumberFormat="1" applyFont="1" applyAlignment="1">
      <alignment horizontal="center"/>
    </xf>
    <xf numFmtId="1" fontId="0" fillId="0" borderId="0" xfId="0" applyNumberFormat="1"/>
    <xf numFmtId="14" fontId="0" fillId="0" borderId="0" xfId="0" applyNumberFormat="1"/>
    <xf numFmtId="166" fontId="0" fillId="0" borderId="0" xfId="0" applyNumberFormat="1"/>
    <xf numFmtId="14" fontId="2"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applyAlignment="1">
      <alignment horizontal="center"/>
    </xf>
    <xf numFmtId="166" fontId="0" fillId="0" borderId="0" xfId="0" applyNumberFormat="1" applyAlignment="1">
      <alignment horizontal="center"/>
    </xf>
    <xf numFmtId="0" fontId="1" fillId="3" borderId="2" xfId="0" applyFont="1" applyFill="1" applyBorder="1" applyAlignment="1">
      <alignment horizontal="center"/>
    </xf>
    <xf numFmtId="166" fontId="1" fillId="3" borderId="1" xfId="0" applyNumberFormat="1" applyFont="1" applyFill="1" applyBorder="1" applyAlignment="1">
      <alignment horizontal="center"/>
    </xf>
    <xf numFmtId="0" fontId="1" fillId="3" borderId="1" xfId="0" applyFont="1" applyFill="1" applyBorder="1" applyAlignment="1">
      <alignment horizontal="center"/>
    </xf>
    <xf numFmtId="1" fontId="1" fillId="3" borderId="1" xfId="0" applyNumberFormat="1" applyFont="1" applyFill="1" applyBorder="1" applyAlignment="1">
      <alignment horizontal="center"/>
    </xf>
    <xf numFmtId="0" fontId="1" fillId="3" borderId="3" xfId="0" applyFont="1" applyFill="1" applyBorder="1" applyAlignment="1">
      <alignment horizontal="center"/>
    </xf>
  </cellXfs>
  <cellStyles count="1">
    <cellStyle name="Normal" xfId="0" builtinId="0"/>
  </cellStyles>
  <dxfs count="28">
    <dxf>
      <numFmt numFmtId="2" formatCode="0.00"/>
    </dxf>
    <dxf>
      <numFmt numFmtId="2" formatCode="0.0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66" formatCode="[$-409]d\-mmm;@"/>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409]d\-mmm;@"/>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dxf>
    <dxf>
      <numFmt numFmtId="164" formatCode="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57150</xdr:colOff>
      <xdr:row>0</xdr:row>
      <xdr:rowOff>76200</xdr:rowOff>
    </xdr:from>
    <xdr:ext cx="2038350" cy="609600"/>
    <xdr:sp macro="" textlink="">
      <xdr:nvSpPr>
        <xdr:cNvPr id="2" name="TextBox 1">
          <a:extLst>
            <a:ext uri="{FF2B5EF4-FFF2-40B4-BE49-F238E27FC236}">
              <a16:creationId xmlns:a16="http://schemas.microsoft.com/office/drawing/2014/main" id="{3B285770-E0EC-EE0A-B133-24816A405869}"/>
            </a:ext>
          </a:extLst>
        </xdr:cNvPr>
        <xdr:cNvSpPr txBox="1"/>
      </xdr:nvSpPr>
      <xdr:spPr>
        <a:xfrm>
          <a:off x="57150" y="76200"/>
          <a:ext cx="2038350" cy="609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chemeClr val="bg1"/>
              </a:solidFill>
              <a:latin typeface="Arial Black" panose="020B0A04020102020204" pitchFamily="34" charset="0"/>
            </a:rPr>
            <a:t>PRODUCTS</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57150</xdr:colOff>
      <xdr:row>0</xdr:row>
      <xdr:rowOff>76200</xdr:rowOff>
    </xdr:from>
    <xdr:ext cx="2038350" cy="609600"/>
    <xdr:sp macro="" textlink="">
      <xdr:nvSpPr>
        <xdr:cNvPr id="2" name="TextBox 1">
          <a:extLst>
            <a:ext uri="{FF2B5EF4-FFF2-40B4-BE49-F238E27FC236}">
              <a16:creationId xmlns:a16="http://schemas.microsoft.com/office/drawing/2014/main" id="{D8E2715E-ECA8-49E8-A675-A8167F6EEBD4}"/>
            </a:ext>
          </a:extLst>
        </xdr:cNvPr>
        <xdr:cNvSpPr txBox="1"/>
      </xdr:nvSpPr>
      <xdr:spPr>
        <a:xfrm>
          <a:off x="57150" y="76200"/>
          <a:ext cx="2038350" cy="609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chemeClr val="bg1"/>
              </a:solidFill>
              <a:latin typeface="Arial Black" panose="020B0A04020102020204" pitchFamily="34" charset="0"/>
            </a:rPr>
            <a:t>Transactions</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57150</xdr:colOff>
      <xdr:row>0</xdr:row>
      <xdr:rowOff>76200</xdr:rowOff>
    </xdr:from>
    <xdr:ext cx="2038350" cy="609600"/>
    <xdr:sp macro="" textlink="">
      <xdr:nvSpPr>
        <xdr:cNvPr id="2" name="TextBox 1">
          <a:extLst>
            <a:ext uri="{FF2B5EF4-FFF2-40B4-BE49-F238E27FC236}">
              <a16:creationId xmlns:a16="http://schemas.microsoft.com/office/drawing/2014/main" id="{78F6FA13-1577-448F-B99F-A69398B64D60}"/>
            </a:ext>
          </a:extLst>
        </xdr:cNvPr>
        <xdr:cNvSpPr txBox="1"/>
      </xdr:nvSpPr>
      <xdr:spPr>
        <a:xfrm>
          <a:off x="57150" y="76200"/>
          <a:ext cx="2038350" cy="609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chemeClr val="bg1"/>
              </a:solidFill>
              <a:latin typeface="Arial Black" panose="020B0A04020102020204" pitchFamily="34" charset="0"/>
            </a:rPr>
            <a:t>INVENTORY</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57150</xdr:colOff>
      <xdr:row>0</xdr:row>
      <xdr:rowOff>76200</xdr:rowOff>
    </xdr:from>
    <xdr:ext cx="2038350" cy="609600"/>
    <xdr:sp macro="" textlink="">
      <xdr:nvSpPr>
        <xdr:cNvPr id="2" name="TextBox 1">
          <a:extLst>
            <a:ext uri="{FF2B5EF4-FFF2-40B4-BE49-F238E27FC236}">
              <a16:creationId xmlns:a16="http://schemas.microsoft.com/office/drawing/2014/main" id="{50A8D398-D310-4C0D-896D-1BBAAAB3FCDE}"/>
            </a:ext>
          </a:extLst>
        </xdr:cNvPr>
        <xdr:cNvSpPr txBox="1"/>
      </xdr:nvSpPr>
      <xdr:spPr>
        <a:xfrm>
          <a:off x="57150" y="76200"/>
          <a:ext cx="2038350" cy="609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chemeClr val="bg1"/>
              </a:solidFill>
              <a:latin typeface="Arial Black" panose="020B0A04020102020204" pitchFamily="34" charset="0"/>
            </a:rPr>
            <a:t>ORDER</a:t>
          </a:r>
        </a:p>
      </xdr:txBody>
    </xdr:sp>
    <xdr:clientData/>
  </xdr:oneCellAnchor>
  <xdr:twoCellAnchor editAs="oneCell">
    <xdr:from>
      <xdr:col>5</xdr:col>
      <xdr:colOff>205597</xdr:colOff>
      <xdr:row>4</xdr:row>
      <xdr:rowOff>32888</xdr:rowOff>
    </xdr:from>
    <xdr:to>
      <xdr:col>6</xdr:col>
      <xdr:colOff>596661</xdr:colOff>
      <xdr:row>19</xdr:row>
      <xdr:rowOff>44929</xdr:rowOff>
    </xdr:to>
    <mc:AlternateContent xmlns:mc="http://schemas.openxmlformats.org/markup-compatibility/2006">
      <mc:Choice xmlns:a14="http://schemas.microsoft.com/office/drawing/2010/main" Requires="a14">
        <xdr:graphicFrame macro="">
          <xdr:nvGraphicFramePr>
            <xdr:cNvPr id="3" name="supplier">
              <a:extLst>
                <a:ext uri="{FF2B5EF4-FFF2-40B4-BE49-F238E27FC236}">
                  <a16:creationId xmlns:a16="http://schemas.microsoft.com/office/drawing/2014/main" id="{2B031B0F-496C-CC58-7B6D-90E439ED3B5A}"/>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4842295" y="787699"/>
              <a:ext cx="1828800" cy="2842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677353</xdr:colOff>
      <xdr:row>4</xdr:row>
      <xdr:rowOff>1437</xdr:rowOff>
    </xdr:from>
    <xdr:to>
      <xdr:col>9</xdr:col>
      <xdr:colOff>134788</xdr:colOff>
      <xdr:row>27</xdr:row>
      <xdr:rowOff>26957</xdr:rowOff>
    </xdr:to>
    <mc:AlternateContent xmlns:mc="http://schemas.openxmlformats.org/markup-compatibility/2006">
      <mc:Choice xmlns:a14="http://schemas.microsoft.com/office/drawing/2010/main" Requires="a14">
        <xdr:graphicFrame macro="">
          <xdr:nvGraphicFramePr>
            <xdr:cNvPr id="5" name="Product Descrption">
              <a:extLst>
                <a:ext uri="{FF2B5EF4-FFF2-40B4-BE49-F238E27FC236}">
                  <a16:creationId xmlns:a16="http://schemas.microsoft.com/office/drawing/2014/main" id="{E3E591F3-1AF6-6D6F-97C6-E582F364D567}"/>
                </a:ext>
              </a:extLst>
            </xdr:cNvPr>
            <xdr:cNvGraphicFramePr/>
          </xdr:nvGraphicFramePr>
          <xdr:xfrm>
            <a:off x="0" y="0"/>
            <a:ext cx="0" cy="0"/>
          </xdr:xfrm>
          <a:graphic>
            <a:graphicData uri="http://schemas.microsoft.com/office/drawing/2010/slicer">
              <sle:slicer xmlns:sle="http://schemas.microsoft.com/office/drawing/2010/slicer" name="Product Descrption"/>
            </a:graphicData>
          </a:graphic>
        </xdr:graphicFrame>
      </mc:Choice>
      <mc:Fallback>
        <xdr:sp macro="" textlink="">
          <xdr:nvSpPr>
            <xdr:cNvPr id="0" name=""/>
            <xdr:cNvSpPr>
              <a:spLocks noTextEdit="1"/>
            </xdr:cNvSpPr>
          </xdr:nvSpPr>
          <xdr:spPr>
            <a:xfrm>
              <a:off x="6751787" y="756248"/>
              <a:ext cx="2503638" cy="4365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M E TOOBA" refreshedDate="46209.284241435184" createdVersion="8" refreshedVersion="8" minRefreshableVersion="3" recordCount="15" xr:uid="{CB38B900-4912-481A-95C0-B7718BC9BFFF}">
  <cacheSource type="worksheet">
    <worksheetSource name="Table6"/>
  </cacheSource>
  <cacheFields count="10">
    <cacheField name="Site" numFmtId="0">
      <sharedItems count="3">
        <s v="Store A"/>
        <s v="Store B"/>
        <s v="Store C"/>
      </sharedItems>
    </cacheField>
    <cacheField name="Product I'd" numFmtId="0">
      <sharedItems count="15">
        <s v="PO1001"/>
        <s v="PO1002"/>
        <s v="PO1003"/>
        <s v="PO1004"/>
        <s v="PO1005"/>
        <s v="PO1006"/>
        <s v="PO1007"/>
        <s v="PO1008"/>
        <s v="PO1009"/>
        <s v="PO1010"/>
        <s v="PO1011"/>
        <s v="PO1012"/>
        <s v="PO1013"/>
        <s v="PO1014"/>
        <s v="PO1015"/>
      </sharedItems>
    </cacheField>
    <cacheField name="Product Descrption" numFmtId="0">
      <sharedItems count="15">
        <s v="Rainbow Socks"/>
        <s v="Bubble Tea kit"/>
        <s v="LED Fight Spinner"/>
        <s v="Popcorn Pack"/>
        <s v="Pocket Notebook"/>
        <s v="Slime DIY Kit"/>
        <s v="Resuable water Bottle"/>
        <s v="Chocolate box"/>
        <s v="Mini Desk Plant"/>
        <s v="Glow-in-dark-Mug"/>
        <s v="Scented Candel"/>
        <s v="Travel Card Holder"/>
        <s v="Cotton Tootte Bag"/>
        <s v="Jelly bean Jar"/>
        <s v="Magnetic Bookmark Set"/>
      </sharedItems>
    </cacheField>
    <cacheField name="supplier" numFmtId="0">
      <sharedItems count="9">
        <s v="CozyWear.com"/>
        <s v="Teastytreat Ltd"/>
        <s v="Funzone Import"/>
        <s v="Snak master"/>
        <s v="Paperworm supplier"/>
        <s v="Ecoliving Ltd"/>
        <s v="Green thumbb Supplier"/>
        <s v="Urban Style.com"/>
        <s v="Sweet treat.com"/>
      </sharedItems>
    </cacheField>
    <cacheField name="Cost/Unit" numFmtId="0">
      <sharedItems containsSemiMixedTypes="0" containsString="0" containsNumber="1" minValue="2" maxValue="10"/>
    </cacheField>
    <cacheField name="Recorder Level" numFmtId="0">
      <sharedItems containsSemiMixedTypes="0" containsString="0" containsNumber="1" containsInteger="1" minValue="8" maxValue="25" count="11">
        <n v="20"/>
        <n v="15"/>
        <n v="16"/>
        <n v="13"/>
        <n v="19"/>
        <n v="24"/>
        <n v="25"/>
        <n v="8"/>
        <n v="9"/>
        <n v="10"/>
        <n v="22"/>
      </sharedItems>
    </cacheField>
    <cacheField name="Quantity On Hand" numFmtId="2">
      <sharedItems containsSemiMixedTypes="0" containsString="0" containsNumber="1" minValue="2" maxValue="25"/>
    </cacheField>
    <cacheField name="Stock Value" numFmtId="2">
      <sharedItems containsSemiMixedTypes="0" containsString="0" containsNumber="1" minValue="30" maxValue="360" count="14">
        <n v="117.64705882352942"/>
        <n v="30"/>
        <n v="48"/>
        <n v="66.666666666666671"/>
        <n v="151.66666666666666"/>
        <n v="135.71428571428572"/>
        <n v="106.66666666666667"/>
        <n v="142.85714285714286"/>
        <n v="90"/>
        <n v="40"/>
        <n v="250"/>
        <n v="142.5"/>
        <n v="360"/>
        <n v="160"/>
      </sharedItems>
    </cacheField>
    <cacheField name="Recorder" numFmtId="0">
      <sharedItems count="2">
        <s v="YES"/>
        <s v="NO"/>
      </sharedItems>
    </cacheField>
    <cacheField name="Oder Date" numFmtId="166">
      <sharedItems containsSemiMixedTypes="0" containsNonDate="0" containsDate="1" containsString="0" minDate="2026-07-01T00:00:00" maxDate="2026-07-02T00:00:00" count="1">
        <d v="2026-07-01T00:00:00"/>
      </sharedItems>
    </cacheField>
  </cacheFields>
  <extLst>
    <ext xmlns:x14="http://schemas.microsoft.com/office/spreadsheetml/2009/9/main" uri="{725AE2AE-9491-48be-B2B4-4EB974FC3084}">
      <x14:pivotCacheDefinition pivotCacheId="1342130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n v="8.5"/>
    <x v="0"/>
    <n v="5.882352941176471"/>
    <x v="0"/>
    <x v="0"/>
    <x v="0"/>
  </r>
  <r>
    <x v="1"/>
    <x v="1"/>
    <x v="1"/>
    <x v="1"/>
    <n v="5"/>
    <x v="1"/>
    <n v="2"/>
    <x v="1"/>
    <x v="0"/>
    <x v="0"/>
  </r>
  <r>
    <x v="0"/>
    <x v="2"/>
    <x v="2"/>
    <x v="2"/>
    <n v="10"/>
    <x v="2"/>
    <n v="3"/>
    <x v="2"/>
    <x v="0"/>
    <x v="0"/>
  </r>
  <r>
    <x v="1"/>
    <x v="3"/>
    <x v="3"/>
    <x v="3"/>
    <n v="4.5"/>
    <x v="1"/>
    <n v="4.4444444444444446"/>
    <x v="3"/>
    <x v="0"/>
    <x v="0"/>
  </r>
  <r>
    <x v="1"/>
    <x v="4"/>
    <x v="4"/>
    <x v="4"/>
    <n v="6"/>
    <x v="3"/>
    <n v="11.666666666666666"/>
    <x v="4"/>
    <x v="0"/>
    <x v="0"/>
  </r>
  <r>
    <x v="2"/>
    <x v="5"/>
    <x v="5"/>
    <x v="2"/>
    <n v="7"/>
    <x v="4"/>
    <n v="7.1428571428571432"/>
    <x v="5"/>
    <x v="0"/>
    <x v="0"/>
  </r>
  <r>
    <x v="0"/>
    <x v="6"/>
    <x v="6"/>
    <x v="5"/>
    <n v="9"/>
    <x v="5"/>
    <n v="4.4444444444444446"/>
    <x v="6"/>
    <x v="0"/>
    <x v="0"/>
  </r>
  <r>
    <x v="2"/>
    <x v="7"/>
    <x v="7"/>
    <x v="3"/>
    <n v="3.5"/>
    <x v="6"/>
    <n v="5.7142857142857144"/>
    <x v="7"/>
    <x v="0"/>
    <x v="0"/>
  </r>
  <r>
    <x v="0"/>
    <x v="8"/>
    <x v="8"/>
    <x v="6"/>
    <n v="8"/>
    <x v="7"/>
    <n v="3.75"/>
    <x v="1"/>
    <x v="0"/>
    <x v="0"/>
  </r>
  <r>
    <x v="2"/>
    <x v="9"/>
    <x v="9"/>
    <x v="0"/>
    <n v="4"/>
    <x v="8"/>
    <n v="10"/>
    <x v="8"/>
    <x v="1"/>
    <x v="0"/>
  </r>
  <r>
    <x v="1"/>
    <x v="10"/>
    <x v="10"/>
    <x v="0"/>
    <n v="7.5"/>
    <x v="1"/>
    <n v="2.6666666666666665"/>
    <x v="9"/>
    <x v="0"/>
    <x v="0"/>
  </r>
  <r>
    <x v="0"/>
    <x v="11"/>
    <x v="11"/>
    <x v="7"/>
    <n v="2"/>
    <x v="9"/>
    <n v="25"/>
    <x v="10"/>
    <x v="1"/>
    <x v="0"/>
  </r>
  <r>
    <x v="0"/>
    <x v="12"/>
    <x v="12"/>
    <x v="0"/>
    <n v="8"/>
    <x v="4"/>
    <n v="7.5"/>
    <x v="11"/>
    <x v="0"/>
    <x v="0"/>
  </r>
  <r>
    <x v="2"/>
    <x v="13"/>
    <x v="13"/>
    <x v="8"/>
    <n v="6"/>
    <x v="5"/>
    <n v="15"/>
    <x v="12"/>
    <x v="0"/>
    <x v="0"/>
  </r>
  <r>
    <x v="2"/>
    <x v="14"/>
    <x v="14"/>
    <x v="4"/>
    <n v="5.5"/>
    <x v="10"/>
    <n v="7.2727272727272725"/>
    <x v="1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BBADDD-2D8E-40C0-9660-24A1B5266794}"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E44" firstHeaderRow="1" firstDataRow="2" firstDataCol="1" rowPageCount="2" colPageCount="1"/>
  <pivotFields count="10">
    <pivotField axis="axisCol" showAll="0">
      <items count="4">
        <item x="0"/>
        <item x="1"/>
        <item x="2"/>
        <item t="default"/>
      </items>
    </pivotField>
    <pivotField axis="axisRow" showAll="0">
      <items count="16">
        <item x="0"/>
        <item x="1"/>
        <item x="2"/>
        <item x="3"/>
        <item x="4"/>
        <item x="5"/>
        <item x="6"/>
        <item x="7"/>
        <item x="8"/>
        <item x="9"/>
        <item x="10"/>
        <item x="11"/>
        <item x="12"/>
        <item x="13"/>
        <item x="14"/>
        <item t="default"/>
      </items>
    </pivotField>
    <pivotField axis="axisRow" showAll="0">
      <items count="16">
        <item x="1"/>
        <item x="7"/>
        <item x="12"/>
        <item x="9"/>
        <item x="13"/>
        <item x="2"/>
        <item x="14"/>
        <item x="8"/>
        <item x="4"/>
        <item x="3"/>
        <item x="0"/>
        <item x="6"/>
        <item x="10"/>
        <item x="5"/>
        <item x="11"/>
        <item t="default"/>
      </items>
    </pivotField>
    <pivotField showAll="0">
      <items count="10">
        <item x="0"/>
        <item x="5"/>
        <item x="2"/>
        <item x="6"/>
        <item x="4"/>
        <item x="3"/>
        <item x="8"/>
        <item x="1"/>
        <item x="7"/>
        <item t="default"/>
      </items>
    </pivotField>
    <pivotField showAll="0"/>
    <pivotField showAll="0">
      <items count="12">
        <item x="7"/>
        <item x="8"/>
        <item x="9"/>
        <item x="3"/>
        <item x="1"/>
        <item x="2"/>
        <item x="4"/>
        <item x="0"/>
        <item x="10"/>
        <item x="5"/>
        <item x="6"/>
        <item t="default"/>
      </items>
    </pivotField>
    <pivotField numFmtId="2" showAll="0"/>
    <pivotField numFmtId="2" showAll="0">
      <items count="15">
        <item x="1"/>
        <item x="9"/>
        <item x="2"/>
        <item x="3"/>
        <item x="8"/>
        <item x="6"/>
        <item x="0"/>
        <item x="5"/>
        <item x="11"/>
        <item x="7"/>
        <item x="4"/>
        <item x="13"/>
        <item x="10"/>
        <item x="12"/>
        <item t="default"/>
      </items>
    </pivotField>
    <pivotField axis="axisPage" showAll="0">
      <items count="3">
        <item x="1"/>
        <item x="0"/>
        <item t="default"/>
      </items>
    </pivotField>
    <pivotField axis="axisPage" numFmtId="166" showAll="0">
      <items count="2">
        <item x="0"/>
        <item t="default"/>
      </items>
    </pivotField>
  </pivotFields>
  <rowFields count="2">
    <field x="1"/>
    <field x="2"/>
  </rowFields>
  <rowItems count="31">
    <i>
      <x/>
    </i>
    <i r="1">
      <x v="10"/>
    </i>
    <i>
      <x v="1"/>
    </i>
    <i r="1">
      <x/>
    </i>
    <i>
      <x v="2"/>
    </i>
    <i r="1">
      <x v="5"/>
    </i>
    <i>
      <x v="3"/>
    </i>
    <i r="1">
      <x v="9"/>
    </i>
    <i>
      <x v="4"/>
    </i>
    <i r="1">
      <x v="8"/>
    </i>
    <i>
      <x v="5"/>
    </i>
    <i r="1">
      <x v="13"/>
    </i>
    <i>
      <x v="6"/>
    </i>
    <i r="1">
      <x v="11"/>
    </i>
    <i>
      <x v="7"/>
    </i>
    <i r="1">
      <x v="1"/>
    </i>
    <i>
      <x v="8"/>
    </i>
    <i r="1">
      <x v="7"/>
    </i>
    <i>
      <x v="9"/>
    </i>
    <i r="1">
      <x v="3"/>
    </i>
    <i>
      <x v="10"/>
    </i>
    <i r="1">
      <x v="12"/>
    </i>
    <i>
      <x v="11"/>
    </i>
    <i r="1">
      <x v="14"/>
    </i>
    <i>
      <x v="12"/>
    </i>
    <i r="1">
      <x v="2"/>
    </i>
    <i>
      <x v="13"/>
    </i>
    <i r="1">
      <x v="4"/>
    </i>
    <i>
      <x v="14"/>
    </i>
    <i r="1">
      <x v="6"/>
    </i>
    <i t="grand">
      <x/>
    </i>
  </rowItems>
  <colFields count="1">
    <field x="0"/>
  </colFields>
  <colItems count="4">
    <i>
      <x/>
    </i>
    <i>
      <x v="1"/>
    </i>
    <i>
      <x v="2"/>
    </i>
    <i t="grand">
      <x/>
    </i>
  </colItems>
  <pageFields count="2">
    <pageField fld="8" hier="-1"/>
    <pageField fld="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B927FED6-61F4-400F-B7E9-BBB788AA5BA6}" sourceName="supplier">
  <pivotTables>
    <pivotTable tabId="5" name="PivotTable2"/>
  </pivotTables>
  <data>
    <tabular pivotCacheId="1342130044">
      <items count="9">
        <i x="0" s="1"/>
        <i x="5" s="1"/>
        <i x="2" s="1"/>
        <i x="6" s="1"/>
        <i x="4" s="1"/>
        <i x="3" s="1"/>
        <i x="8" s="1"/>
        <i x="1"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Descrption" xr10:uid="{416BCA4D-9F1D-4F86-962A-4FEF0D2DD1B4}" sourceName="Product Descrption">
  <pivotTables>
    <pivotTable tabId="5" name="PivotTable2"/>
  </pivotTables>
  <data>
    <tabular pivotCacheId="1342130044">
      <items count="15">
        <i x="1" s="1"/>
        <i x="7" s="1"/>
        <i x="12" s="1"/>
        <i x="9" s="1"/>
        <i x="13" s="1"/>
        <i x="2" s="1"/>
        <i x="14" s="1"/>
        <i x="8" s="1"/>
        <i x="4" s="1"/>
        <i x="3" s="1"/>
        <i x="0" s="1"/>
        <i x="6" s="1"/>
        <i x="10" s="1"/>
        <i x="5"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F0085763-5794-4F5B-8F43-47C2BE0015F4}" cache="Slicer_supplier" caption="supplier" style="SlicerStyleOther2" rowHeight="241300"/>
  <slicer name="Product Descrption" xr10:uid="{2F0352EA-2623-471B-B2C8-8EB8DBB7CAF6}" cache="Slicer_Product_Descrption" caption="Product Descrp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E6A4E2-CB02-4575-9009-3A55A388E00A}" name="Table1" displayName="Table1" ref="A5:F20" totalsRowShown="0" headerRowDxfId="20" dataDxfId="21">
  <autoFilter ref="A5:F20" xr:uid="{01E6A4E2-CB02-4575-9009-3A55A388E00A}">
    <filterColumn colId="0" hiddenButton="1"/>
    <filterColumn colId="1" hiddenButton="1"/>
    <filterColumn colId="2" hiddenButton="1"/>
    <filterColumn colId="3" hiddenButton="1"/>
    <filterColumn colId="4" hiddenButton="1"/>
    <filterColumn colId="5" hiddenButton="1"/>
  </autoFilter>
  <tableColumns count="6">
    <tableColumn id="1" xr3:uid="{AAFAEA52-85C2-49A0-93A3-057644F3C48A}" name="PRDOUCT I'D" dataDxfId="27"/>
    <tableColumn id="2" xr3:uid="{358037DB-62BD-47CF-9C0D-515FA5ABA744}" name="PRODUCT NAME" dataDxfId="26"/>
    <tableColumn id="3" xr3:uid="{506C4E7F-1BEF-4E72-965D-18EC6F7ABF61}" name="CATEGORY " dataDxfId="25"/>
    <tableColumn id="4" xr3:uid="{583DBB45-094B-4BB9-B777-705AAE256C28}" name="COST/UNIT" dataDxfId="24"/>
    <tableColumn id="5" xr3:uid="{52F20B82-A29B-4899-93F3-D5A89086B285}" name="RECORDER LEVEL" dataDxfId="23"/>
    <tableColumn id="6" xr3:uid="{BDB522DD-019D-4D87-BEF1-5A6B4AA18BA7}" name="SUPPLIER" dataDxfId="22"/>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0AC0AC-4826-48C7-B0E8-2B622F1756C7}" name="Table5" displayName="Table5" ref="E5:J20" totalsRowShown="0" headerRowDxfId="10" dataDxfId="11" headerRowBorderDxfId="18" tableBorderDxfId="19">
  <autoFilter ref="E5:J20" xr:uid="{EE0AC0AC-4826-48C7-B0E8-2B622F1756C7}">
    <filterColumn colId="0" hiddenButton="1"/>
    <filterColumn colId="1" hiddenButton="1"/>
    <filterColumn colId="2" hiddenButton="1"/>
    <filterColumn colId="3" hiddenButton="1"/>
    <filterColumn colId="4" hiddenButton="1"/>
    <filterColumn colId="5" hiddenButton="1"/>
  </autoFilter>
  <tableColumns count="6">
    <tableColumn id="1" xr3:uid="{ABAAB838-0823-4DE3-8B93-8E42137B3F73}" name="TransI'D" dataDxfId="17"/>
    <tableColumn id="2" xr3:uid="{F71ADFFF-80DC-45D4-A0A3-E980420BD914}" name="DATE" dataDxfId="16"/>
    <tableColumn id="3" xr3:uid="{0156C7A6-E7D3-4CD4-A5E7-B06D838294F2}" name="PRODUCT I'd" dataDxfId="15"/>
    <tableColumn id="4" xr3:uid="{B2DE23CB-D8A2-4266-ACC4-B19D659B4308}" name="SITE" dataDxfId="14"/>
    <tableColumn id="5" xr3:uid="{FBC8DC40-8DF5-4D4A-A6C8-2251F3889004}" name="QUANTITY" dataDxfId="13"/>
    <tableColumn id="6" xr3:uid="{85F2FB98-137B-4BDD-9C3C-6F5FA62FBC5F}" name="TYPE" dataDxfId="12"/>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AD9F28-354B-47CF-BE8D-F9D9BE611C4A}" name="Table6" displayName="Table6" ref="A5:J20" totalsRowShown="0" headerRowDxfId="3">
  <autoFilter ref="A5:J20" xr:uid="{3BAD9F28-354B-47CF-BE8D-F9D9BE611C4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59A7E3D-888E-4C38-928F-FE83DA2B993D}" name="Site" dataDxfId="9"/>
    <tableColumn id="2" xr3:uid="{9CA0C412-A01B-4FB8-8DD2-BF7D7DE82DD1}" name="Product I'd" dataDxfId="8"/>
    <tableColumn id="3" xr3:uid="{EEA6846B-35C5-4DC5-914F-C76A46BF3E23}" name="Product Descrption" dataDxfId="7">
      <calculatedColumnFormula>VLOOKUP(B6,Table1[],2,0)</calculatedColumnFormula>
    </tableColumn>
    <tableColumn id="4" xr3:uid="{257E3D27-2DB0-4208-B0F0-2ECB839B706A}" name="supplier" dataDxfId="6">
      <calculatedColumnFormula>VLOOKUP(B6,Table1[],6,0)</calculatedColumnFormula>
    </tableColumn>
    <tableColumn id="5" xr3:uid="{7A9A898F-DE24-4F64-AAA7-8E5FF75D3D89}" name="Cost/Unit" dataDxfId="5">
      <calculatedColumnFormula>VLOOKUP(B6,Table1[],4,0)</calculatedColumnFormula>
    </tableColumn>
    <tableColumn id="6" xr3:uid="{011574F0-46BD-4A59-9A23-977206F5F153}" name="Recorder Level" dataDxfId="2">
      <calculatedColumnFormula>VLOOKUP(B6,Table1[],5,0)</calculatedColumnFormula>
    </tableColumn>
    <tableColumn id="7" xr3:uid="{B56DC35D-BECC-405B-B63B-E8FC7087DBEC}" name="Quantity On Hand" dataDxfId="1">
      <calculatedColumnFormula>Table5[QUANTITY]/Table1[COST/UNIT]</calculatedColumnFormula>
    </tableColumn>
    <tableColumn id="8" xr3:uid="{48A9DBEE-2BE4-44DA-93AF-421640BD0A6B}" name="Stock Value" dataDxfId="0">
      <calculatedColumnFormula>G6*F6</calculatedColumnFormula>
    </tableColumn>
    <tableColumn id="9" xr3:uid="{39C8DD8B-E9D4-4C3B-A67A-F410C009536A}" name="Recorder">
      <calculatedColumnFormula>IF(G6&lt;=F6,"YES","NO")</calculatedColumnFormula>
    </tableColumn>
    <tableColumn id="10" xr3:uid="{FD76ADD4-9D1E-449E-A721-CDD9B04EA3B2}" name="Oder Date" dataDxfId="4"/>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3BDA-7BAA-4F6F-97FD-8DDE516B1E69}">
  <dimension ref="A1:P20"/>
  <sheetViews>
    <sheetView workbookViewId="0">
      <selection activeCell="A6" sqref="A6:A20"/>
    </sheetView>
  </sheetViews>
  <sheetFormatPr defaultRowHeight="15" x14ac:dyDescent="0.25"/>
  <cols>
    <col min="1" max="1" width="14.5703125" style="1" customWidth="1"/>
    <col min="2" max="2" width="22.140625" style="1" bestFit="1" customWidth="1"/>
    <col min="3" max="3" width="13.7109375" style="1" bestFit="1" customWidth="1"/>
    <col min="4" max="4" width="13" style="7" customWidth="1"/>
    <col min="5" max="5" width="17.85546875" style="9" customWidth="1"/>
    <col min="6" max="6" width="22.140625" bestFit="1" customWidth="1"/>
  </cols>
  <sheetData>
    <row r="1" spans="1:16" x14ac:dyDescent="0.25">
      <c r="A1" s="2" t="s">
        <v>0</v>
      </c>
      <c r="B1" s="2"/>
      <c r="C1" s="2"/>
      <c r="D1" s="2"/>
      <c r="E1" s="2"/>
      <c r="F1" s="2"/>
      <c r="G1" s="2"/>
      <c r="H1" s="2"/>
      <c r="I1" s="2"/>
      <c r="J1" s="2"/>
      <c r="K1" s="2"/>
      <c r="L1" s="2"/>
      <c r="M1" s="2"/>
      <c r="N1" s="2"/>
      <c r="O1" s="2"/>
      <c r="P1" s="2"/>
    </row>
    <row r="2" spans="1:16" x14ac:dyDescent="0.25">
      <c r="A2" s="2"/>
      <c r="B2" s="2"/>
      <c r="C2" s="2"/>
      <c r="D2" s="2"/>
      <c r="E2" s="2"/>
      <c r="F2" s="2"/>
      <c r="G2" s="2"/>
      <c r="H2" s="2"/>
      <c r="I2" s="2"/>
      <c r="J2" s="2"/>
      <c r="K2" s="2"/>
      <c r="L2" s="2"/>
      <c r="M2" s="2"/>
      <c r="N2" s="2"/>
      <c r="O2" s="2"/>
      <c r="P2" s="2"/>
    </row>
    <row r="3" spans="1:16" x14ac:dyDescent="0.25">
      <c r="A3" s="2"/>
      <c r="B3" s="2"/>
      <c r="C3" s="2"/>
      <c r="D3" s="2"/>
      <c r="E3" s="2"/>
      <c r="F3" s="2"/>
      <c r="G3" s="2"/>
      <c r="H3" s="2"/>
      <c r="I3" s="2"/>
      <c r="J3" s="2"/>
      <c r="K3" s="2"/>
      <c r="L3" s="2"/>
      <c r="M3" s="2"/>
      <c r="N3" s="2"/>
      <c r="O3" s="2"/>
      <c r="P3" s="2"/>
    </row>
    <row r="5" spans="1:16" x14ac:dyDescent="0.25">
      <c r="A5" s="3" t="s">
        <v>1</v>
      </c>
      <c r="B5" s="3" t="s">
        <v>2</v>
      </c>
      <c r="C5" s="3" t="s">
        <v>3</v>
      </c>
      <c r="D5" s="6" t="s">
        <v>4</v>
      </c>
      <c r="E5" s="8" t="s">
        <v>5</v>
      </c>
      <c r="F5" s="3" t="s">
        <v>6</v>
      </c>
    </row>
    <row r="6" spans="1:16" x14ac:dyDescent="0.25">
      <c r="A6" s="1" t="s">
        <v>7</v>
      </c>
      <c r="B6" s="1" t="s">
        <v>22</v>
      </c>
      <c r="C6" s="1" t="s">
        <v>37</v>
      </c>
      <c r="D6" s="7">
        <v>8.5</v>
      </c>
      <c r="E6" s="9">
        <v>20</v>
      </c>
      <c r="F6" s="1" t="s">
        <v>42</v>
      </c>
    </row>
    <row r="7" spans="1:16" x14ac:dyDescent="0.25">
      <c r="A7" s="1" t="s">
        <v>8</v>
      </c>
      <c r="B7" s="1" t="s">
        <v>23</v>
      </c>
      <c r="C7" s="1" t="s">
        <v>38</v>
      </c>
      <c r="D7" s="7">
        <v>5</v>
      </c>
      <c r="E7" s="9">
        <v>15</v>
      </c>
      <c r="F7" s="1" t="s">
        <v>43</v>
      </c>
    </row>
    <row r="8" spans="1:16" x14ac:dyDescent="0.25">
      <c r="A8" s="1" t="s">
        <v>9</v>
      </c>
      <c r="B8" s="1" t="s">
        <v>24</v>
      </c>
      <c r="C8" s="1" t="s">
        <v>39</v>
      </c>
      <c r="D8" s="7">
        <v>10</v>
      </c>
      <c r="E8" s="9">
        <v>16</v>
      </c>
      <c r="F8" s="1" t="s">
        <v>44</v>
      </c>
    </row>
    <row r="9" spans="1:16" x14ac:dyDescent="0.25">
      <c r="A9" s="1" t="s">
        <v>10</v>
      </c>
      <c r="B9" s="1" t="s">
        <v>25</v>
      </c>
      <c r="C9" s="1" t="s">
        <v>38</v>
      </c>
      <c r="D9" s="7">
        <v>4.5</v>
      </c>
      <c r="E9" s="9">
        <v>15</v>
      </c>
      <c r="F9" s="1" t="s">
        <v>45</v>
      </c>
    </row>
    <row r="10" spans="1:16" x14ac:dyDescent="0.25">
      <c r="A10" s="1" t="s">
        <v>11</v>
      </c>
      <c r="B10" s="1" t="s">
        <v>26</v>
      </c>
      <c r="C10" s="1" t="s">
        <v>40</v>
      </c>
      <c r="D10" s="7">
        <v>6</v>
      </c>
      <c r="E10" s="9">
        <v>13</v>
      </c>
      <c r="F10" s="1" t="s">
        <v>46</v>
      </c>
    </row>
    <row r="11" spans="1:16" x14ac:dyDescent="0.25">
      <c r="A11" s="1" t="s">
        <v>12</v>
      </c>
      <c r="B11" s="1" t="s">
        <v>27</v>
      </c>
      <c r="C11" s="1" t="s">
        <v>39</v>
      </c>
      <c r="D11" s="7">
        <v>7</v>
      </c>
      <c r="E11" s="9">
        <v>19</v>
      </c>
      <c r="F11" s="1" t="s">
        <v>44</v>
      </c>
    </row>
    <row r="12" spans="1:16" x14ac:dyDescent="0.25">
      <c r="A12" s="1" t="s">
        <v>13</v>
      </c>
      <c r="B12" s="1" t="s">
        <v>28</v>
      </c>
      <c r="C12" s="1" t="s">
        <v>41</v>
      </c>
      <c r="D12" s="7">
        <v>9</v>
      </c>
      <c r="E12" s="9">
        <v>24</v>
      </c>
      <c r="F12" s="1" t="s">
        <v>47</v>
      </c>
    </row>
    <row r="13" spans="1:16" x14ac:dyDescent="0.25">
      <c r="A13" s="1" t="s">
        <v>14</v>
      </c>
      <c r="B13" s="1" t="s">
        <v>29</v>
      </c>
      <c r="C13" s="1" t="s">
        <v>38</v>
      </c>
      <c r="D13" s="7">
        <v>3.5</v>
      </c>
      <c r="E13" s="9">
        <v>25</v>
      </c>
      <c r="F13" s="1" t="s">
        <v>45</v>
      </c>
    </row>
    <row r="14" spans="1:16" x14ac:dyDescent="0.25">
      <c r="A14" s="1" t="s">
        <v>15</v>
      </c>
      <c r="B14" s="1" t="s">
        <v>30</v>
      </c>
      <c r="C14" s="1" t="s">
        <v>41</v>
      </c>
      <c r="D14" s="7">
        <v>8</v>
      </c>
      <c r="E14" s="9">
        <v>8</v>
      </c>
      <c r="F14" s="1" t="s">
        <v>48</v>
      </c>
    </row>
    <row r="15" spans="1:16" x14ac:dyDescent="0.25">
      <c r="A15" s="1" t="s">
        <v>16</v>
      </c>
      <c r="B15" s="1" t="s">
        <v>31</v>
      </c>
      <c r="C15" s="1" t="s">
        <v>41</v>
      </c>
      <c r="D15" s="7">
        <v>4</v>
      </c>
      <c r="E15" s="9">
        <v>9</v>
      </c>
      <c r="F15" s="1" t="s">
        <v>42</v>
      </c>
    </row>
    <row r="16" spans="1:16" x14ac:dyDescent="0.25">
      <c r="A16" s="1" t="s">
        <v>17</v>
      </c>
      <c r="B16" s="1" t="s">
        <v>32</v>
      </c>
      <c r="C16" s="1" t="s">
        <v>41</v>
      </c>
      <c r="D16" s="7">
        <v>7.5</v>
      </c>
      <c r="E16" s="9">
        <v>15</v>
      </c>
      <c r="F16" s="1" t="s">
        <v>42</v>
      </c>
    </row>
    <row r="17" spans="1:6" x14ac:dyDescent="0.25">
      <c r="A17" s="1" t="s">
        <v>18</v>
      </c>
      <c r="B17" s="1" t="s">
        <v>33</v>
      </c>
      <c r="C17" s="1" t="s">
        <v>41</v>
      </c>
      <c r="D17" s="7">
        <v>2</v>
      </c>
      <c r="E17" s="9">
        <v>10</v>
      </c>
      <c r="F17" s="1" t="s">
        <v>49</v>
      </c>
    </row>
    <row r="18" spans="1:6" x14ac:dyDescent="0.25">
      <c r="A18" s="1" t="s">
        <v>19</v>
      </c>
      <c r="B18" s="1" t="s">
        <v>34</v>
      </c>
      <c r="C18" s="1" t="s">
        <v>37</v>
      </c>
      <c r="D18" s="7">
        <v>8</v>
      </c>
      <c r="E18" s="9">
        <v>19</v>
      </c>
      <c r="F18" s="1" t="s">
        <v>42</v>
      </c>
    </row>
    <row r="19" spans="1:6" x14ac:dyDescent="0.25">
      <c r="A19" s="1" t="s">
        <v>20</v>
      </c>
      <c r="B19" s="1" t="s">
        <v>35</v>
      </c>
      <c r="C19" s="1" t="s">
        <v>38</v>
      </c>
      <c r="D19" s="7">
        <v>6</v>
      </c>
      <c r="E19" s="9">
        <v>24</v>
      </c>
      <c r="F19" s="1" t="s">
        <v>50</v>
      </c>
    </row>
    <row r="20" spans="1:6" x14ac:dyDescent="0.25">
      <c r="A20" s="1" t="s">
        <v>21</v>
      </c>
      <c r="B20" s="1" t="s">
        <v>36</v>
      </c>
      <c r="C20" s="1" t="s">
        <v>37</v>
      </c>
      <c r="D20" s="7">
        <v>5.5</v>
      </c>
      <c r="E20" s="9">
        <v>22</v>
      </c>
      <c r="F20" s="1" t="s">
        <v>46</v>
      </c>
    </row>
  </sheetData>
  <mergeCells count="1">
    <mergeCell ref="A1:P3"/>
  </mergeCells>
  <phoneticPr fontId="4" type="noConversion"/>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9CA2C-DAD8-43C6-801F-ED23DC2B2287}">
  <dimension ref="A1:P20"/>
  <sheetViews>
    <sheetView workbookViewId="0">
      <selection activeCell="C11" sqref="C11"/>
    </sheetView>
  </sheetViews>
  <sheetFormatPr defaultRowHeight="15" x14ac:dyDescent="0.25"/>
  <cols>
    <col min="1" max="1" width="10.28515625" style="1" customWidth="1"/>
    <col min="2" max="2" width="9.140625" style="1"/>
    <col min="3" max="3" width="14.42578125" style="1" customWidth="1"/>
    <col min="4" max="4" width="6.5703125" style="1" customWidth="1"/>
    <col min="5" max="5" width="12.85546875" style="16" customWidth="1"/>
    <col min="6" max="6" width="11" style="1" customWidth="1"/>
    <col min="7" max="7" width="17.140625" customWidth="1"/>
    <col min="8" max="8" width="13.140625" customWidth="1"/>
    <col min="9" max="9" width="14" customWidth="1"/>
    <col min="10" max="10" width="19.5703125" customWidth="1"/>
  </cols>
  <sheetData>
    <row r="1" spans="1:16" x14ac:dyDescent="0.25">
      <c r="A1" s="2" t="s">
        <v>0</v>
      </c>
      <c r="B1" s="2"/>
      <c r="C1" s="2"/>
      <c r="D1" s="2"/>
      <c r="E1" s="2"/>
      <c r="F1" s="2"/>
      <c r="G1" s="2"/>
      <c r="H1" s="2"/>
      <c r="I1" s="2"/>
      <c r="J1" s="2"/>
      <c r="K1" s="2"/>
      <c r="L1" s="2"/>
      <c r="M1" s="2"/>
      <c r="N1" s="2"/>
      <c r="O1" s="2"/>
      <c r="P1" s="2"/>
    </row>
    <row r="2" spans="1:16" x14ac:dyDescent="0.25">
      <c r="A2" s="2"/>
      <c r="B2" s="2"/>
      <c r="C2" s="2"/>
      <c r="D2" s="2"/>
      <c r="E2" s="2"/>
      <c r="F2" s="2"/>
      <c r="G2" s="2"/>
      <c r="H2" s="2"/>
      <c r="I2" s="2"/>
      <c r="J2" s="2"/>
      <c r="K2" s="2"/>
      <c r="L2" s="2"/>
      <c r="M2" s="2"/>
      <c r="N2" s="2"/>
      <c r="O2" s="2"/>
      <c r="P2" s="2"/>
    </row>
    <row r="3" spans="1:16" x14ac:dyDescent="0.25">
      <c r="A3" s="2"/>
      <c r="B3" s="2"/>
      <c r="C3" s="2"/>
      <c r="D3" s="2"/>
      <c r="E3" s="2"/>
      <c r="F3" s="2"/>
      <c r="G3" s="2"/>
      <c r="H3" s="2"/>
      <c r="I3" s="2"/>
      <c r="J3" s="2"/>
      <c r="K3" s="2"/>
      <c r="L3" s="2"/>
      <c r="M3" s="2"/>
      <c r="N3" s="2"/>
      <c r="O3" s="2"/>
      <c r="P3" s="2"/>
    </row>
    <row r="5" spans="1:16" x14ac:dyDescent="0.25">
      <c r="E5" s="18" t="s">
        <v>51</v>
      </c>
      <c r="F5" s="19" t="s">
        <v>52</v>
      </c>
      <c r="G5" s="20" t="s">
        <v>53</v>
      </c>
      <c r="H5" s="20" t="s">
        <v>57</v>
      </c>
      <c r="I5" s="21" t="s">
        <v>56</v>
      </c>
      <c r="J5" s="22" t="s">
        <v>55</v>
      </c>
    </row>
    <row r="6" spans="1:16" x14ac:dyDescent="0.25">
      <c r="E6" s="1" t="s">
        <v>58</v>
      </c>
      <c r="F6" s="17">
        <v>46204</v>
      </c>
      <c r="G6" s="1" t="s">
        <v>7</v>
      </c>
      <c r="H6" s="1" t="s">
        <v>73</v>
      </c>
      <c r="I6" s="16">
        <v>50</v>
      </c>
      <c r="J6" s="1" t="s">
        <v>76</v>
      </c>
    </row>
    <row r="7" spans="1:16" x14ac:dyDescent="0.25">
      <c r="E7" s="1" t="s">
        <v>59</v>
      </c>
      <c r="F7" s="17">
        <v>46205</v>
      </c>
      <c r="G7" s="1" t="s">
        <v>8</v>
      </c>
      <c r="H7" s="1" t="s">
        <v>74</v>
      </c>
      <c r="I7" s="16">
        <v>10</v>
      </c>
      <c r="J7" s="1" t="s">
        <v>76</v>
      </c>
    </row>
    <row r="8" spans="1:16" x14ac:dyDescent="0.25">
      <c r="E8" s="1" t="s">
        <v>60</v>
      </c>
      <c r="F8" s="17">
        <v>46206</v>
      </c>
      <c r="G8" s="1" t="s">
        <v>9</v>
      </c>
      <c r="H8" s="1" t="s">
        <v>73</v>
      </c>
      <c r="I8" s="16">
        <v>30</v>
      </c>
      <c r="J8" s="1" t="s">
        <v>76</v>
      </c>
    </row>
    <row r="9" spans="1:16" x14ac:dyDescent="0.25">
      <c r="E9" s="1" t="s">
        <v>61</v>
      </c>
      <c r="F9" s="17">
        <v>46207</v>
      </c>
      <c r="G9" s="1" t="s">
        <v>10</v>
      </c>
      <c r="H9" s="1" t="s">
        <v>74</v>
      </c>
      <c r="I9" s="16">
        <v>20</v>
      </c>
      <c r="J9" s="1" t="s">
        <v>76</v>
      </c>
    </row>
    <row r="10" spans="1:16" x14ac:dyDescent="0.25">
      <c r="E10" s="1" t="s">
        <v>62</v>
      </c>
      <c r="F10" s="17">
        <v>46208</v>
      </c>
      <c r="G10" s="1" t="s">
        <v>11</v>
      </c>
      <c r="H10" s="1" t="s">
        <v>74</v>
      </c>
      <c r="I10" s="16">
        <v>70</v>
      </c>
      <c r="J10" s="1" t="s">
        <v>76</v>
      </c>
    </row>
    <row r="11" spans="1:16" x14ac:dyDescent="0.25">
      <c r="E11" s="1" t="s">
        <v>63</v>
      </c>
      <c r="F11" s="17">
        <v>46209</v>
      </c>
      <c r="G11" s="1" t="s">
        <v>12</v>
      </c>
      <c r="H11" s="1" t="s">
        <v>75</v>
      </c>
      <c r="I11" s="16">
        <v>50</v>
      </c>
      <c r="J11" s="1" t="s">
        <v>76</v>
      </c>
    </row>
    <row r="12" spans="1:16" x14ac:dyDescent="0.25">
      <c r="E12" s="1" t="s">
        <v>64</v>
      </c>
      <c r="F12" s="17">
        <v>46210</v>
      </c>
      <c r="G12" s="1" t="s">
        <v>13</v>
      </c>
      <c r="H12" s="1" t="s">
        <v>73</v>
      </c>
      <c r="I12" s="16">
        <v>40</v>
      </c>
      <c r="J12" s="1" t="s">
        <v>76</v>
      </c>
    </row>
    <row r="13" spans="1:16" x14ac:dyDescent="0.25">
      <c r="E13" s="1" t="s">
        <v>65</v>
      </c>
      <c r="F13" s="17">
        <v>46211</v>
      </c>
      <c r="G13" s="1" t="s">
        <v>14</v>
      </c>
      <c r="H13" s="1" t="s">
        <v>75</v>
      </c>
      <c r="I13" s="16">
        <v>20</v>
      </c>
      <c r="J13" s="1" t="s">
        <v>76</v>
      </c>
    </row>
    <row r="14" spans="1:16" x14ac:dyDescent="0.25">
      <c r="E14" s="1" t="s">
        <v>66</v>
      </c>
      <c r="F14" s="17">
        <v>46212</v>
      </c>
      <c r="G14" s="1" t="s">
        <v>15</v>
      </c>
      <c r="H14" s="1" t="s">
        <v>73</v>
      </c>
      <c r="I14" s="16">
        <v>30</v>
      </c>
      <c r="J14" s="1" t="s">
        <v>76</v>
      </c>
    </row>
    <row r="15" spans="1:16" x14ac:dyDescent="0.25">
      <c r="E15" s="1" t="s">
        <v>67</v>
      </c>
      <c r="F15" s="17">
        <v>46213</v>
      </c>
      <c r="G15" s="1" t="s">
        <v>16</v>
      </c>
      <c r="H15" s="1" t="s">
        <v>75</v>
      </c>
      <c r="I15" s="16">
        <v>40</v>
      </c>
      <c r="J15" s="1" t="s">
        <v>76</v>
      </c>
    </row>
    <row r="16" spans="1:16" x14ac:dyDescent="0.25">
      <c r="E16" s="1" t="s">
        <v>68</v>
      </c>
      <c r="F16" s="17">
        <v>46214</v>
      </c>
      <c r="G16" s="1" t="s">
        <v>17</v>
      </c>
      <c r="H16" s="1" t="s">
        <v>74</v>
      </c>
      <c r="I16" s="16">
        <v>20</v>
      </c>
      <c r="J16" s="1" t="s">
        <v>76</v>
      </c>
    </row>
    <row r="17" spans="5:10" x14ac:dyDescent="0.25">
      <c r="E17" s="1" t="s">
        <v>69</v>
      </c>
      <c r="F17" s="17">
        <v>46215</v>
      </c>
      <c r="G17" s="1" t="s">
        <v>18</v>
      </c>
      <c r="H17" s="1" t="s">
        <v>73</v>
      </c>
      <c r="I17" s="16">
        <v>50</v>
      </c>
      <c r="J17" s="1" t="s">
        <v>76</v>
      </c>
    </row>
    <row r="18" spans="5:10" x14ac:dyDescent="0.25">
      <c r="E18" s="1" t="s">
        <v>70</v>
      </c>
      <c r="F18" s="17">
        <v>46216</v>
      </c>
      <c r="G18" s="1" t="s">
        <v>19</v>
      </c>
      <c r="H18" s="1" t="s">
        <v>73</v>
      </c>
      <c r="I18" s="16">
        <v>60</v>
      </c>
      <c r="J18" s="1" t="s">
        <v>76</v>
      </c>
    </row>
    <row r="19" spans="5:10" x14ac:dyDescent="0.25">
      <c r="E19" s="1" t="s">
        <v>71</v>
      </c>
      <c r="F19" s="17">
        <v>46217</v>
      </c>
      <c r="G19" s="1" t="s">
        <v>20</v>
      </c>
      <c r="H19" s="1" t="s">
        <v>75</v>
      </c>
      <c r="I19" s="16">
        <v>90</v>
      </c>
      <c r="J19" s="1" t="s">
        <v>76</v>
      </c>
    </row>
    <row r="20" spans="5:10" x14ac:dyDescent="0.25">
      <c r="E20" s="1" t="s">
        <v>72</v>
      </c>
      <c r="F20" s="17">
        <v>46218</v>
      </c>
      <c r="G20" s="1" t="s">
        <v>21</v>
      </c>
      <c r="H20" s="1" t="s">
        <v>75</v>
      </c>
      <c r="I20" s="16">
        <v>40</v>
      </c>
      <c r="J20" s="1" t="s">
        <v>76</v>
      </c>
    </row>
  </sheetData>
  <mergeCells count="1">
    <mergeCell ref="A1:P3"/>
  </mergeCells>
  <dataValidations count="1">
    <dataValidation type="list" allowBlank="1" showInputMessage="1" showErrorMessage="1" sqref="G5" xr:uid="{E8CCA6E0-7A1A-428E-B228-C2090F646596}">
      <formula1>ProductList</formula1>
    </dataValidation>
  </dataValidation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C8F9-1473-479E-8347-CD72AA286224}">
  <dimension ref="A1:P20"/>
  <sheetViews>
    <sheetView workbookViewId="0">
      <selection sqref="A1:P3"/>
    </sheetView>
  </sheetViews>
  <sheetFormatPr defaultRowHeight="15" x14ac:dyDescent="0.25"/>
  <cols>
    <col min="1" max="1" width="10.42578125" style="1" customWidth="1"/>
    <col min="2" max="2" width="13" style="1" customWidth="1"/>
    <col min="3" max="3" width="24.42578125" style="1" customWidth="1"/>
    <col min="4" max="4" width="25.5703125" customWidth="1"/>
    <col min="5" max="5" width="11.7109375" customWidth="1"/>
    <col min="6" max="6" width="16.28515625" customWidth="1"/>
    <col min="7" max="7" width="18.85546875" style="5" customWidth="1"/>
    <col min="8" max="8" width="13.42578125" style="5" customWidth="1"/>
    <col min="9" max="9" width="11.140625" customWidth="1"/>
    <col min="10" max="10" width="12.140625" style="10" customWidth="1"/>
  </cols>
  <sheetData>
    <row r="1" spans="1:16" x14ac:dyDescent="0.25">
      <c r="A1" s="2" t="s">
        <v>0</v>
      </c>
      <c r="B1" s="2"/>
      <c r="C1" s="2"/>
      <c r="D1" s="2"/>
      <c r="E1" s="2"/>
      <c r="F1" s="2"/>
      <c r="G1" s="2"/>
      <c r="H1" s="2"/>
      <c r="I1" s="2"/>
      <c r="J1" s="2"/>
      <c r="K1" s="2"/>
      <c r="L1" s="2"/>
      <c r="M1" s="2"/>
      <c r="N1" s="2"/>
      <c r="O1" s="2"/>
      <c r="P1" s="2"/>
    </row>
    <row r="2" spans="1:16" x14ac:dyDescent="0.25">
      <c r="A2" s="2"/>
      <c r="B2" s="2"/>
      <c r="C2" s="2"/>
      <c r="D2" s="2"/>
      <c r="E2" s="2"/>
      <c r="F2" s="2"/>
      <c r="G2" s="2"/>
      <c r="H2" s="2"/>
      <c r="I2" s="2"/>
      <c r="J2" s="2"/>
      <c r="K2" s="2"/>
      <c r="L2" s="2"/>
      <c r="M2" s="2"/>
      <c r="N2" s="2"/>
      <c r="O2" s="2"/>
      <c r="P2" s="2"/>
    </row>
    <row r="3" spans="1:16" x14ac:dyDescent="0.25">
      <c r="A3" s="2"/>
      <c r="B3" s="2"/>
      <c r="C3" s="2"/>
      <c r="D3" s="2"/>
      <c r="E3" s="2"/>
      <c r="F3" s="2"/>
      <c r="G3" s="2"/>
      <c r="H3" s="2"/>
      <c r="I3" s="2"/>
      <c r="J3" s="2"/>
      <c r="K3" s="2"/>
      <c r="L3" s="2"/>
      <c r="M3" s="2"/>
      <c r="N3" s="2"/>
      <c r="O3" s="2"/>
      <c r="P3" s="2"/>
    </row>
    <row r="5" spans="1:16" x14ac:dyDescent="0.25">
      <c r="A5" s="3" t="s">
        <v>54</v>
      </c>
      <c r="B5" s="3" t="s">
        <v>77</v>
      </c>
      <c r="C5" s="3" t="s">
        <v>78</v>
      </c>
      <c r="D5" s="3" t="s">
        <v>79</v>
      </c>
      <c r="E5" s="3" t="s">
        <v>80</v>
      </c>
      <c r="F5" s="3" t="s">
        <v>81</v>
      </c>
      <c r="G5" s="4" t="s">
        <v>82</v>
      </c>
      <c r="H5" s="4" t="s">
        <v>83</v>
      </c>
      <c r="I5" s="3" t="s">
        <v>84</v>
      </c>
      <c r="J5" s="12" t="s">
        <v>85</v>
      </c>
    </row>
    <row r="6" spans="1:16" x14ac:dyDescent="0.25">
      <c r="A6" s="1" t="s">
        <v>73</v>
      </c>
      <c r="B6" s="1" t="s">
        <v>7</v>
      </c>
      <c r="C6" s="1" t="str">
        <f>VLOOKUP(B6,Table1[],2,0)</f>
        <v>Rainbow Socks</v>
      </c>
      <c r="D6" s="1" t="str">
        <f>VLOOKUP(B6,Table1[],6,0)</f>
        <v>CozyWear.com</v>
      </c>
      <c r="E6" s="1">
        <f>VLOOKUP(B6,Table1[],4,0)</f>
        <v>8.5</v>
      </c>
      <c r="F6" s="1">
        <f>VLOOKUP(B6,Table1[],5,0)</f>
        <v>20</v>
      </c>
      <c r="G6" s="5">
        <f>Table5[QUANTITY]/Table1[COST/UNIT]</f>
        <v>5.882352941176471</v>
      </c>
      <c r="H6" s="5">
        <f>G6*F6</f>
        <v>117.64705882352942</v>
      </c>
      <c r="I6" t="str">
        <f>IF(G6&lt;=F6,"YES","NO")</f>
        <v>YES</v>
      </c>
      <c r="J6" s="11">
        <v>46204</v>
      </c>
    </row>
    <row r="7" spans="1:16" x14ac:dyDescent="0.25">
      <c r="A7" s="1" t="s">
        <v>74</v>
      </c>
      <c r="B7" s="1" t="s">
        <v>8</v>
      </c>
      <c r="C7" s="1" t="str">
        <f>VLOOKUP(B7,Table1[],2,0)</f>
        <v>Bubble Tea kit</v>
      </c>
      <c r="D7" s="1" t="str">
        <f>VLOOKUP(B7,Table1[],6,0)</f>
        <v>Teastytreat Ltd</v>
      </c>
      <c r="E7" s="1">
        <f>VLOOKUP(B7,Table1[],4,0)</f>
        <v>5</v>
      </c>
      <c r="F7" s="1">
        <f>VLOOKUP(B7,Table1[],5,0)</f>
        <v>15</v>
      </c>
      <c r="G7" s="5">
        <f>Table5[QUANTITY]/Table1[COST/UNIT]</f>
        <v>2</v>
      </c>
      <c r="H7" s="5">
        <f t="shared" ref="H7:H20" si="0">G7*F7</f>
        <v>30</v>
      </c>
      <c r="I7" t="str">
        <f t="shared" ref="I7:I20" si="1">IF(G7&lt;=F7,"YES","NO")</f>
        <v>YES</v>
      </c>
      <c r="J7" s="11">
        <v>46204</v>
      </c>
    </row>
    <row r="8" spans="1:16" x14ac:dyDescent="0.25">
      <c r="A8" s="1" t="s">
        <v>73</v>
      </c>
      <c r="B8" s="1" t="s">
        <v>9</v>
      </c>
      <c r="C8" s="1" t="str">
        <f>VLOOKUP(B8,Table1[],2,0)</f>
        <v>LED Fight Spinner</v>
      </c>
      <c r="D8" s="1" t="str">
        <f>VLOOKUP(B8,Table1[],6,0)</f>
        <v>Funzone Import</v>
      </c>
      <c r="E8" s="1">
        <f>VLOOKUP(B8,Table1[],4,0)</f>
        <v>10</v>
      </c>
      <c r="F8" s="1">
        <f>VLOOKUP(B8,Table1[],5,0)</f>
        <v>16</v>
      </c>
      <c r="G8" s="5">
        <f>Table5[QUANTITY]/Table1[COST/UNIT]</f>
        <v>3</v>
      </c>
      <c r="H8" s="5">
        <f t="shared" si="0"/>
        <v>48</v>
      </c>
      <c r="I8" t="str">
        <f t="shared" si="1"/>
        <v>YES</v>
      </c>
      <c r="J8" s="11">
        <v>46204</v>
      </c>
    </row>
    <row r="9" spans="1:16" x14ac:dyDescent="0.25">
      <c r="A9" s="1" t="s">
        <v>74</v>
      </c>
      <c r="B9" s="1" t="s">
        <v>10</v>
      </c>
      <c r="C9" s="1" t="str">
        <f>VLOOKUP(B9,Table1[],2,0)</f>
        <v>Popcorn Pack</v>
      </c>
      <c r="D9" s="1" t="str">
        <f>VLOOKUP(B9,Table1[],6,0)</f>
        <v>Snak master</v>
      </c>
      <c r="E9" s="1">
        <f>VLOOKUP(B9,Table1[],4,0)</f>
        <v>4.5</v>
      </c>
      <c r="F9" s="1">
        <f>VLOOKUP(B9,Table1[],5,0)</f>
        <v>15</v>
      </c>
      <c r="G9" s="5">
        <f>Table5[QUANTITY]/Table1[COST/UNIT]</f>
        <v>4.4444444444444446</v>
      </c>
      <c r="H9" s="5">
        <f t="shared" si="0"/>
        <v>66.666666666666671</v>
      </c>
      <c r="I9" t="str">
        <f t="shared" si="1"/>
        <v>YES</v>
      </c>
      <c r="J9" s="11">
        <v>46204</v>
      </c>
    </row>
    <row r="10" spans="1:16" x14ac:dyDescent="0.25">
      <c r="A10" s="1" t="s">
        <v>74</v>
      </c>
      <c r="B10" s="1" t="s">
        <v>11</v>
      </c>
      <c r="C10" s="1" t="str">
        <f>VLOOKUP(B10,Table1[],2,0)</f>
        <v>Pocket Notebook</v>
      </c>
      <c r="D10" s="1" t="str">
        <f>VLOOKUP(B10,Table1[],6,0)</f>
        <v>Paperworm supplier</v>
      </c>
      <c r="E10" s="1">
        <f>VLOOKUP(B10,Table1[],4,0)</f>
        <v>6</v>
      </c>
      <c r="F10" s="1">
        <f>VLOOKUP(B10,Table1[],5,0)</f>
        <v>13</v>
      </c>
      <c r="G10" s="5">
        <f>Table5[QUANTITY]/Table1[COST/UNIT]</f>
        <v>11.666666666666666</v>
      </c>
      <c r="H10" s="5">
        <f t="shared" si="0"/>
        <v>151.66666666666666</v>
      </c>
      <c r="I10" t="str">
        <f t="shared" si="1"/>
        <v>YES</v>
      </c>
      <c r="J10" s="11">
        <v>46204</v>
      </c>
    </row>
    <row r="11" spans="1:16" x14ac:dyDescent="0.25">
      <c r="A11" s="1" t="s">
        <v>75</v>
      </c>
      <c r="B11" s="1" t="s">
        <v>12</v>
      </c>
      <c r="C11" s="1" t="str">
        <f>VLOOKUP(B11,Table1[],2,0)</f>
        <v>Slime DIY Kit</v>
      </c>
      <c r="D11" s="1" t="str">
        <f>VLOOKUP(B11,Table1[],6,0)</f>
        <v>Funzone Import</v>
      </c>
      <c r="E11" s="1">
        <f>VLOOKUP(B11,Table1[],4,0)</f>
        <v>7</v>
      </c>
      <c r="F11" s="1">
        <f>VLOOKUP(B11,Table1[],5,0)</f>
        <v>19</v>
      </c>
      <c r="G11" s="5">
        <f>Table5[QUANTITY]/Table1[COST/UNIT]</f>
        <v>7.1428571428571432</v>
      </c>
      <c r="H11" s="5">
        <f t="shared" si="0"/>
        <v>135.71428571428572</v>
      </c>
      <c r="I11" t="str">
        <f t="shared" si="1"/>
        <v>YES</v>
      </c>
      <c r="J11" s="11">
        <v>46204</v>
      </c>
    </row>
    <row r="12" spans="1:16" x14ac:dyDescent="0.25">
      <c r="A12" s="1" t="s">
        <v>73</v>
      </c>
      <c r="B12" s="1" t="s">
        <v>13</v>
      </c>
      <c r="C12" s="1" t="str">
        <f>VLOOKUP(B12,Table1[],2,0)</f>
        <v>Resuable water Bottle</v>
      </c>
      <c r="D12" s="1" t="str">
        <f>VLOOKUP(B12,Table1[],6,0)</f>
        <v>Ecoliving Ltd</v>
      </c>
      <c r="E12" s="1">
        <f>VLOOKUP(B12,Table1[],4,0)</f>
        <v>9</v>
      </c>
      <c r="F12" s="1">
        <f>VLOOKUP(B12,Table1[],5,0)</f>
        <v>24</v>
      </c>
      <c r="G12" s="5">
        <f>Table5[QUANTITY]/Table1[COST/UNIT]</f>
        <v>4.4444444444444446</v>
      </c>
      <c r="H12" s="5">
        <f t="shared" si="0"/>
        <v>106.66666666666667</v>
      </c>
      <c r="I12" t="str">
        <f t="shared" si="1"/>
        <v>YES</v>
      </c>
      <c r="J12" s="11">
        <v>46204</v>
      </c>
    </row>
    <row r="13" spans="1:16" x14ac:dyDescent="0.25">
      <c r="A13" s="1" t="s">
        <v>75</v>
      </c>
      <c r="B13" s="1" t="s">
        <v>14</v>
      </c>
      <c r="C13" s="1" t="str">
        <f>VLOOKUP(B13,Table1[],2,0)</f>
        <v>Chocolate box</v>
      </c>
      <c r="D13" s="1" t="str">
        <f>VLOOKUP(B13,Table1[],6,0)</f>
        <v>Snak master</v>
      </c>
      <c r="E13" s="1">
        <f>VLOOKUP(B13,Table1[],4,0)</f>
        <v>3.5</v>
      </c>
      <c r="F13" s="1">
        <f>VLOOKUP(B13,Table1[],5,0)</f>
        <v>25</v>
      </c>
      <c r="G13" s="5">
        <f>Table5[QUANTITY]/Table1[COST/UNIT]</f>
        <v>5.7142857142857144</v>
      </c>
      <c r="H13" s="5">
        <f t="shared" si="0"/>
        <v>142.85714285714286</v>
      </c>
      <c r="I13" t="str">
        <f t="shared" si="1"/>
        <v>YES</v>
      </c>
      <c r="J13" s="11">
        <v>46204</v>
      </c>
    </row>
    <row r="14" spans="1:16" x14ac:dyDescent="0.25">
      <c r="A14" s="1" t="s">
        <v>73</v>
      </c>
      <c r="B14" s="1" t="s">
        <v>15</v>
      </c>
      <c r="C14" s="1" t="str">
        <f>VLOOKUP(B14,Table1[],2,0)</f>
        <v>Mini Desk Plant</v>
      </c>
      <c r="D14" s="1" t="str">
        <f>VLOOKUP(B14,Table1[],6,0)</f>
        <v>Green thumbb Supplier</v>
      </c>
      <c r="E14" s="1">
        <f>VLOOKUP(B14,Table1[],4,0)</f>
        <v>8</v>
      </c>
      <c r="F14" s="1">
        <f>VLOOKUP(B14,Table1[],5,0)</f>
        <v>8</v>
      </c>
      <c r="G14" s="5">
        <f>Table5[QUANTITY]/Table1[COST/UNIT]</f>
        <v>3.75</v>
      </c>
      <c r="H14" s="5">
        <f t="shared" si="0"/>
        <v>30</v>
      </c>
      <c r="I14" t="str">
        <f t="shared" si="1"/>
        <v>YES</v>
      </c>
      <c r="J14" s="11">
        <v>46204</v>
      </c>
    </row>
    <row r="15" spans="1:16" x14ac:dyDescent="0.25">
      <c r="A15" s="1" t="s">
        <v>75</v>
      </c>
      <c r="B15" s="1" t="s">
        <v>16</v>
      </c>
      <c r="C15" s="1" t="str">
        <f>VLOOKUP(B15,Table1[],2,0)</f>
        <v>Glow-in-dark-Mug</v>
      </c>
      <c r="D15" s="1" t="str">
        <f>VLOOKUP(B15,Table1[],6,0)</f>
        <v>CozyWear.com</v>
      </c>
      <c r="E15" s="1">
        <f>VLOOKUP(B15,Table1[],4,0)</f>
        <v>4</v>
      </c>
      <c r="F15" s="1">
        <f>VLOOKUP(B15,Table1[],5,0)</f>
        <v>9</v>
      </c>
      <c r="G15" s="5">
        <f>Table5[QUANTITY]/Table1[COST/UNIT]</f>
        <v>10</v>
      </c>
      <c r="H15" s="5">
        <f t="shared" si="0"/>
        <v>90</v>
      </c>
      <c r="I15" t="str">
        <f t="shared" si="1"/>
        <v>NO</v>
      </c>
      <c r="J15" s="11">
        <v>46204</v>
      </c>
    </row>
    <row r="16" spans="1:16" x14ac:dyDescent="0.25">
      <c r="A16" s="1" t="s">
        <v>74</v>
      </c>
      <c r="B16" s="1" t="s">
        <v>17</v>
      </c>
      <c r="C16" s="1" t="str">
        <f>VLOOKUP(B16,Table1[],2,0)</f>
        <v>Scented Candel</v>
      </c>
      <c r="D16" s="1" t="str">
        <f>VLOOKUP(B16,Table1[],6,0)</f>
        <v>CozyWear.com</v>
      </c>
      <c r="E16" s="1">
        <f>VLOOKUP(B16,Table1[],4,0)</f>
        <v>7.5</v>
      </c>
      <c r="F16" s="1">
        <f>VLOOKUP(B16,Table1[],5,0)</f>
        <v>15</v>
      </c>
      <c r="G16" s="5">
        <f>Table5[QUANTITY]/Table1[COST/UNIT]</f>
        <v>2.6666666666666665</v>
      </c>
      <c r="H16" s="5">
        <f t="shared" si="0"/>
        <v>40</v>
      </c>
      <c r="I16" t="str">
        <f t="shared" si="1"/>
        <v>YES</v>
      </c>
      <c r="J16" s="11">
        <v>46204</v>
      </c>
    </row>
    <row r="17" spans="1:10" x14ac:dyDescent="0.25">
      <c r="A17" s="1" t="s">
        <v>73</v>
      </c>
      <c r="B17" s="1" t="s">
        <v>18</v>
      </c>
      <c r="C17" s="1" t="str">
        <f>VLOOKUP(B17,Table1[],2,0)</f>
        <v>Travel Card Holder</v>
      </c>
      <c r="D17" s="1" t="str">
        <f>VLOOKUP(B17,Table1[],6,0)</f>
        <v>Urban Style.com</v>
      </c>
      <c r="E17" s="1">
        <f>VLOOKUP(B17,Table1[],4,0)</f>
        <v>2</v>
      </c>
      <c r="F17" s="1">
        <f>VLOOKUP(B17,Table1[],5,0)</f>
        <v>10</v>
      </c>
      <c r="G17" s="5">
        <f>Table5[QUANTITY]/Table1[COST/UNIT]</f>
        <v>25</v>
      </c>
      <c r="H17" s="5">
        <f t="shared" si="0"/>
        <v>250</v>
      </c>
      <c r="I17" t="str">
        <f t="shared" si="1"/>
        <v>NO</v>
      </c>
      <c r="J17" s="11">
        <v>46204</v>
      </c>
    </row>
    <row r="18" spans="1:10" x14ac:dyDescent="0.25">
      <c r="A18" s="1" t="s">
        <v>73</v>
      </c>
      <c r="B18" s="1" t="s">
        <v>19</v>
      </c>
      <c r="C18" s="1" t="str">
        <f>VLOOKUP(B18,Table1[],2,0)</f>
        <v>Cotton Tootte Bag</v>
      </c>
      <c r="D18" s="1" t="str">
        <f>VLOOKUP(B18,Table1[],6,0)</f>
        <v>CozyWear.com</v>
      </c>
      <c r="E18" s="1">
        <f>VLOOKUP(B18,Table1[],4,0)</f>
        <v>8</v>
      </c>
      <c r="F18" s="1">
        <f>VLOOKUP(B18,Table1[],5,0)</f>
        <v>19</v>
      </c>
      <c r="G18" s="5">
        <f>Table5[QUANTITY]/Table1[COST/UNIT]</f>
        <v>7.5</v>
      </c>
      <c r="H18" s="5">
        <f t="shared" si="0"/>
        <v>142.5</v>
      </c>
      <c r="I18" t="str">
        <f t="shared" si="1"/>
        <v>YES</v>
      </c>
      <c r="J18" s="11">
        <v>46204</v>
      </c>
    </row>
    <row r="19" spans="1:10" x14ac:dyDescent="0.25">
      <c r="A19" s="1" t="s">
        <v>75</v>
      </c>
      <c r="B19" s="1" t="s">
        <v>20</v>
      </c>
      <c r="C19" s="1" t="str">
        <f>VLOOKUP(B19,Table1[],2,0)</f>
        <v>Jelly bean Jar</v>
      </c>
      <c r="D19" s="1" t="str">
        <f>VLOOKUP(B19,Table1[],6,0)</f>
        <v>Sweet treat.com</v>
      </c>
      <c r="E19" s="1">
        <f>VLOOKUP(B19,Table1[],4,0)</f>
        <v>6</v>
      </c>
      <c r="F19" s="1">
        <f>VLOOKUP(B19,Table1[],5,0)</f>
        <v>24</v>
      </c>
      <c r="G19" s="5">
        <f>Table5[QUANTITY]/Table1[COST/UNIT]</f>
        <v>15</v>
      </c>
      <c r="H19" s="5">
        <f t="shared" si="0"/>
        <v>360</v>
      </c>
      <c r="I19" t="str">
        <f t="shared" si="1"/>
        <v>YES</v>
      </c>
      <c r="J19" s="11">
        <v>46204</v>
      </c>
    </row>
    <row r="20" spans="1:10" x14ac:dyDescent="0.25">
      <c r="A20" s="1" t="s">
        <v>75</v>
      </c>
      <c r="B20" s="1" t="s">
        <v>21</v>
      </c>
      <c r="C20" s="1" t="str">
        <f>VLOOKUP(B20,Table1[],2,0)</f>
        <v>Magnetic Bookmark Set</v>
      </c>
      <c r="D20" s="1" t="str">
        <f>VLOOKUP(B20,Table1[],6,0)</f>
        <v>Paperworm supplier</v>
      </c>
      <c r="E20" s="1">
        <f>VLOOKUP(B20,Table1[],4,0)</f>
        <v>5.5</v>
      </c>
      <c r="F20" s="1">
        <f>VLOOKUP(B20,Table1[],5,0)</f>
        <v>22</v>
      </c>
      <c r="G20" s="5">
        <f>Table5[QUANTITY]/Table1[COST/UNIT]</f>
        <v>7.2727272727272725</v>
      </c>
      <c r="H20" s="5">
        <f t="shared" si="0"/>
        <v>160</v>
      </c>
      <c r="I20" t="str">
        <f t="shared" si="1"/>
        <v>YES</v>
      </c>
      <c r="J20" s="11">
        <v>46204</v>
      </c>
    </row>
  </sheetData>
  <mergeCells count="1">
    <mergeCell ref="A1:P3"/>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1AC7C-0CEF-4CE6-B068-24B92354A6B9}">
  <dimension ref="A1:P44"/>
  <sheetViews>
    <sheetView tabSelected="1" zoomScale="106" zoomScaleNormal="106" workbookViewId="0">
      <selection activeCell="J28" sqref="J28"/>
    </sheetView>
  </sheetViews>
  <sheetFormatPr defaultRowHeight="15" x14ac:dyDescent="0.25"/>
  <cols>
    <col min="1" max="1" width="26" bestFit="1" customWidth="1"/>
    <col min="2" max="2" width="16.42578125" bestFit="1" customWidth="1"/>
    <col min="3" max="3" width="7.7109375" bestFit="1" customWidth="1"/>
    <col min="4" max="4" width="7.5703125" bestFit="1" customWidth="1"/>
    <col min="5" max="5" width="11.85546875" bestFit="1" customWidth="1"/>
    <col min="6" max="6" width="21.5703125" bestFit="1" customWidth="1"/>
    <col min="7" max="7" width="18.140625" bestFit="1" customWidth="1"/>
    <col min="8" max="8" width="13.140625" bestFit="1" customWidth="1"/>
    <col min="9" max="9" width="14.28515625" bestFit="1" customWidth="1"/>
    <col min="10" max="10" width="17.28515625" bestFit="1" customWidth="1"/>
    <col min="11" max="11" width="13.5703125" bestFit="1" customWidth="1"/>
    <col min="12" max="12" width="15.28515625" bestFit="1" customWidth="1"/>
    <col min="13" max="13" width="13" bestFit="1" customWidth="1"/>
    <col min="14" max="14" width="14.140625" bestFit="1" customWidth="1"/>
    <col min="15" max="15" width="18" bestFit="1" customWidth="1"/>
    <col min="16" max="16" width="13.140625" bestFit="1" customWidth="1"/>
    <col min="17" max="17" width="23.42578125" bestFit="1" customWidth="1"/>
    <col min="18" max="18" width="12.5703125" bestFit="1" customWidth="1"/>
    <col min="19" max="19" width="12.85546875" bestFit="1" customWidth="1"/>
    <col min="20" max="20" width="11.85546875" bestFit="1" customWidth="1"/>
    <col min="21" max="21" width="12.42578125" bestFit="1" customWidth="1"/>
    <col min="22" max="22" width="14.28515625" bestFit="1" customWidth="1"/>
    <col min="23" max="23" width="12.42578125" bestFit="1" customWidth="1"/>
    <col min="24" max="24" width="15.5703125" bestFit="1" customWidth="1"/>
    <col min="25" max="25" width="12.42578125" bestFit="1" customWidth="1"/>
    <col min="26" max="26" width="14.28515625" bestFit="1" customWidth="1"/>
    <col min="27" max="27" width="12.42578125" bestFit="1" customWidth="1"/>
    <col min="28" max="28" width="15.7109375" bestFit="1" customWidth="1"/>
    <col min="29" max="29" width="12.42578125" bestFit="1" customWidth="1"/>
    <col min="30" max="30" width="19.28515625" bestFit="1" customWidth="1"/>
    <col min="31" max="31" width="12.42578125" bestFit="1" customWidth="1"/>
    <col min="32" max="32" width="11.140625" bestFit="1" customWidth="1"/>
    <col min="33" max="33" width="7.85546875" bestFit="1" customWidth="1"/>
    <col min="34" max="34" width="12.42578125" bestFit="1" customWidth="1"/>
    <col min="35" max="35" width="15.7109375" bestFit="1" customWidth="1"/>
    <col min="36" max="36" width="7.85546875" bestFit="1" customWidth="1"/>
    <col min="37" max="37" width="12.42578125" bestFit="1" customWidth="1"/>
    <col min="38" max="38" width="14.42578125" bestFit="1" customWidth="1"/>
    <col min="39" max="39" width="7.85546875" bestFit="1" customWidth="1"/>
    <col min="40" max="40" width="12.42578125" bestFit="1" customWidth="1"/>
    <col min="41" max="41" width="15.7109375" bestFit="1" customWidth="1"/>
    <col min="42" max="42" width="7.85546875" bestFit="1" customWidth="1"/>
    <col min="43" max="43" width="12.42578125" bestFit="1" customWidth="1"/>
    <col min="44" max="44" width="19.28515625" bestFit="1" customWidth="1"/>
    <col min="45" max="45" width="7.85546875" bestFit="1" customWidth="1"/>
    <col min="46" max="46" width="12.42578125" bestFit="1" customWidth="1"/>
    <col min="47" max="47" width="11.28515625" bestFit="1" customWidth="1"/>
  </cols>
  <sheetData>
    <row r="1" spans="1:16" x14ac:dyDescent="0.25">
      <c r="A1" s="2" t="s">
        <v>0</v>
      </c>
      <c r="B1" s="2"/>
      <c r="C1" s="2"/>
      <c r="D1" s="2"/>
      <c r="E1" s="2"/>
      <c r="F1" s="2"/>
      <c r="G1" s="2"/>
      <c r="H1" s="2"/>
      <c r="I1" s="2"/>
      <c r="J1" s="2"/>
      <c r="K1" s="2"/>
      <c r="L1" s="2"/>
      <c r="M1" s="2"/>
      <c r="N1" s="2"/>
      <c r="O1" s="2"/>
      <c r="P1" s="2"/>
    </row>
    <row r="2" spans="1:16" x14ac:dyDescent="0.25">
      <c r="A2" s="2"/>
      <c r="B2" s="2"/>
      <c r="C2" s="2"/>
      <c r="D2" s="2"/>
      <c r="E2" s="2"/>
      <c r="F2" s="2"/>
      <c r="G2" s="2"/>
      <c r="H2" s="2"/>
      <c r="I2" s="2"/>
      <c r="J2" s="2"/>
      <c r="K2" s="2"/>
      <c r="L2" s="2"/>
      <c r="M2" s="2"/>
      <c r="N2" s="2"/>
      <c r="O2" s="2"/>
      <c r="P2" s="2"/>
    </row>
    <row r="3" spans="1:16" x14ac:dyDescent="0.25">
      <c r="A3" s="2"/>
      <c r="B3" s="2"/>
      <c r="C3" s="2"/>
      <c r="D3" s="2"/>
      <c r="E3" s="2"/>
      <c r="F3" s="2"/>
      <c r="G3" s="2"/>
      <c r="H3" s="2"/>
      <c r="I3" s="2"/>
      <c r="J3" s="2"/>
      <c r="K3" s="2"/>
      <c r="L3" s="2"/>
      <c r="M3" s="2"/>
      <c r="N3" s="2"/>
      <c r="O3" s="2"/>
      <c r="P3" s="2"/>
    </row>
    <row r="9" spans="1:16" x14ac:dyDescent="0.25">
      <c r="A9" s="13" t="s">
        <v>84</v>
      </c>
      <c r="B9" t="s">
        <v>89</v>
      </c>
    </row>
    <row r="10" spans="1:16" x14ac:dyDescent="0.25">
      <c r="A10" s="13" t="s">
        <v>85</v>
      </c>
      <c r="B10" t="s">
        <v>89</v>
      </c>
    </row>
    <row r="12" spans="1:16" x14ac:dyDescent="0.25">
      <c r="B12" s="13" t="s">
        <v>86</v>
      </c>
    </row>
    <row r="13" spans="1:16" x14ac:dyDescent="0.25">
      <c r="A13" s="13" t="s">
        <v>88</v>
      </c>
      <c r="B13" t="s">
        <v>73</v>
      </c>
      <c r="C13" t="s">
        <v>74</v>
      </c>
      <c r="D13" t="s">
        <v>75</v>
      </c>
      <c r="E13" t="s">
        <v>87</v>
      </c>
    </row>
    <row r="14" spans="1:16" x14ac:dyDescent="0.25">
      <c r="A14" s="14" t="s">
        <v>7</v>
      </c>
    </row>
    <row r="15" spans="1:16" x14ac:dyDescent="0.25">
      <c r="A15" s="15" t="s">
        <v>22</v>
      </c>
    </row>
    <row r="16" spans="1:16" x14ac:dyDescent="0.25">
      <c r="A16" s="14" t="s">
        <v>8</v>
      </c>
    </row>
    <row r="17" spans="1:1" x14ac:dyDescent="0.25">
      <c r="A17" s="15" t="s">
        <v>23</v>
      </c>
    </row>
    <row r="18" spans="1:1" x14ac:dyDescent="0.25">
      <c r="A18" s="14" t="s">
        <v>9</v>
      </c>
    </row>
    <row r="19" spans="1:1" x14ac:dyDescent="0.25">
      <c r="A19" s="15" t="s">
        <v>24</v>
      </c>
    </row>
    <row r="20" spans="1:1" x14ac:dyDescent="0.25">
      <c r="A20" s="14" t="s">
        <v>10</v>
      </c>
    </row>
    <row r="21" spans="1:1" x14ac:dyDescent="0.25">
      <c r="A21" s="15" t="s">
        <v>25</v>
      </c>
    </row>
    <row r="22" spans="1:1" x14ac:dyDescent="0.25">
      <c r="A22" s="14" t="s">
        <v>11</v>
      </c>
    </row>
    <row r="23" spans="1:1" x14ac:dyDescent="0.25">
      <c r="A23" s="15" t="s">
        <v>26</v>
      </c>
    </row>
    <row r="24" spans="1:1" x14ac:dyDescent="0.25">
      <c r="A24" s="14" t="s">
        <v>12</v>
      </c>
    </row>
    <row r="25" spans="1:1" x14ac:dyDescent="0.25">
      <c r="A25" s="15" t="s">
        <v>27</v>
      </c>
    </row>
    <row r="26" spans="1:1" x14ac:dyDescent="0.25">
      <c r="A26" s="14" t="s">
        <v>13</v>
      </c>
    </row>
    <row r="27" spans="1:1" x14ac:dyDescent="0.25">
      <c r="A27" s="15" t="s">
        <v>28</v>
      </c>
    </row>
    <row r="28" spans="1:1" x14ac:dyDescent="0.25">
      <c r="A28" s="14" t="s">
        <v>14</v>
      </c>
    </row>
    <row r="29" spans="1:1" x14ac:dyDescent="0.25">
      <c r="A29" s="15" t="s">
        <v>29</v>
      </c>
    </row>
    <row r="30" spans="1:1" x14ac:dyDescent="0.25">
      <c r="A30" s="14" t="s">
        <v>15</v>
      </c>
    </row>
    <row r="31" spans="1:1" x14ac:dyDescent="0.25">
      <c r="A31" s="15" t="s">
        <v>30</v>
      </c>
    </row>
    <row r="32" spans="1:1" x14ac:dyDescent="0.25">
      <c r="A32" s="14" t="s">
        <v>16</v>
      </c>
    </row>
    <row r="33" spans="1:1" x14ac:dyDescent="0.25">
      <c r="A33" s="15" t="s">
        <v>31</v>
      </c>
    </row>
    <row r="34" spans="1:1" x14ac:dyDescent="0.25">
      <c r="A34" s="14" t="s">
        <v>17</v>
      </c>
    </row>
    <row r="35" spans="1:1" x14ac:dyDescent="0.25">
      <c r="A35" s="15" t="s">
        <v>32</v>
      </c>
    </row>
    <row r="36" spans="1:1" x14ac:dyDescent="0.25">
      <c r="A36" s="14" t="s">
        <v>18</v>
      </c>
    </row>
    <row r="37" spans="1:1" x14ac:dyDescent="0.25">
      <c r="A37" s="15" t="s">
        <v>33</v>
      </c>
    </row>
    <row r="38" spans="1:1" x14ac:dyDescent="0.25">
      <c r="A38" s="14" t="s">
        <v>19</v>
      </c>
    </row>
    <row r="39" spans="1:1" x14ac:dyDescent="0.25">
      <c r="A39" s="15" t="s">
        <v>34</v>
      </c>
    </row>
    <row r="40" spans="1:1" x14ac:dyDescent="0.25">
      <c r="A40" s="14" t="s">
        <v>20</v>
      </c>
    </row>
    <row r="41" spans="1:1" x14ac:dyDescent="0.25">
      <c r="A41" s="15" t="s">
        <v>35</v>
      </c>
    </row>
    <row r="42" spans="1:1" x14ac:dyDescent="0.25">
      <c r="A42" s="14" t="s">
        <v>21</v>
      </c>
    </row>
    <row r="43" spans="1:1" x14ac:dyDescent="0.25">
      <c r="A43" s="15" t="s">
        <v>36</v>
      </c>
    </row>
    <row r="44" spans="1:1" x14ac:dyDescent="0.25">
      <c r="A44" s="14" t="s">
        <v>87</v>
      </c>
    </row>
  </sheetData>
  <mergeCells count="1">
    <mergeCell ref="A1:P3"/>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Products</vt:lpstr>
      <vt:lpstr>Transactions</vt:lpstr>
      <vt:lpstr>Inventory</vt:lpstr>
      <vt:lpstr>PIVOT TABLE</vt:lpstr>
      <vt:lpstr>ProductList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UMM E TOOBA</dc:creator>
  <cp:lastModifiedBy>UMM E TOOBA</cp:lastModifiedBy>
  <dcterms:created xsi:type="dcterms:W3CDTF">2026-07-06T00:32:58Z</dcterms:created>
  <dcterms:modified xsi:type="dcterms:W3CDTF">2026-07-06T01:55:11Z</dcterms:modified>
</cp:coreProperties>
</file>